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020" activeTab="1"/>
  </bookViews>
  <sheets>
    <sheet name="Gráfico1" sheetId="7" r:id="rId1"/>
    <sheet name="CORTES" sheetId="1" r:id="rId2"/>
    <sheet name="RELACIONES" sheetId="2" state="hidden" r:id="rId3"/>
    <sheet name="AÑO" sheetId="3" state="hidden" r:id="rId4"/>
    <sheet name="Vacaciones" sheetId="4" r:id="rId5"/>
    <sheet name="Mostrador" sheetId="5" r:id="rId6"/>
    <sheet name="Horarios" sheetId="6" r:id="rId7"/>
    <sheet name="Sheet1" sheetId="8" r:id="rId8"/>
    <sheet name="Sheet2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<sst xmlns="http://schemas.openxmlformats.org/spreadsheetml/2006/main" count="4774" uniqueCount="452">
  <si>
    <t>Jueves 1 de enero de 2026</t>
  </si>
  <si>
    <t>Domingo 1 de febrero de 2026</t>
  </si>
  <si>
    <t>Domingo 1 de marzo de 2026</t>
  </si>
  <si>
    <t>Miércoles 1 de abril de 2026</t>
  </si>
  <si>
    <t>Viernes 1 de mayo de 2025</t>
  </si>
  <si>
    <t>Lunes 1 de junio de 2026</t>
  </si>
  <si>
    <t>Miércoles 1 de julio de 2026</t>
  </si>
  <si>
    <t>Sábado 1 de agosto de 2026</t>
  </si>
  <si>
    <t>Martes 1 de septiembre de 2026</t>
  </si>
  <si>
    <t>Jueves 1 de octubre de 2026</t>
  </si>
  <si>
    <t>Domingo 1 de noviembre de 2026</t>
  </si>
  <si>
    <t>Martes 1 de diciembre de 2026</t>
  </si>
  <si>
    <t>Caja</t>
  </si>
  <si>
    <t>EFECTIVO</t>
  </si>
  <si>
    <t>TARJETA</t>
  </si>
  <si>
    <t>Gastos</t>
  </si>
  <si>
    <t>Ventas Totales</t>
  </si>
  <si>
    <t>Venta</t>
  </si>
  <si>
    <t>Propinas</t>
  </si>
  <si>
    <t>Propinas Totales</t>
  </si>
  <si>
    <t>HIELO</t>
  </si>
  <si>
    <t>Gastos totales</t>
  </si>
  <si>
    <t>carne</t>
  </si>
  <si>
    <t>ALEX</t>
  </si>
  <si>
    <t>cerveza</t>
  </si>
  <si>
    <t>cervez</t>
  </si>
  <si>
    <t>Total Caja</t>
  </si>
  <si>
    <t>chuy</t>
  </si>
  <si>
    <t>ahorramas</t>
  </si>
  <si>
    <t>hielo</t>
  </si>
  <si>
    <t>Entre 4</t>
  </si>
  <si>
    <t>claudia</t>
  </si>
  <si>
    <t>ajo</t>
  </si>
  <si>
    <t>vian</t>
  </si>
  <si>
    <t>Entre 6</t>
  </si>
  <si>
    <t>mierco lupita</t>
  </si>
  <si>
    <t>aceite</t>
  </si>
  <si>
    <t>Entre 8</t>
  </si>
  <si>
    <t>Chuy</t>
  </si>
  <si>
    <t>lupita</t>
  </si>
  <si>
    <t>rey, falta propina hoy</t>
  </si>
  <si>
    <t>Ale</t>
  </si>
  <si>
    <t>huevo</t>
  </si>
  <si>
    <t>Claudia</t>
  </si>
  <si>
    <t>Turno</t>
  </si>
  <si>
    <t>Cocina</t>
  </si>
  <si>
    <t>Mesas</t>
  </si>
  <si>
    <t>Mañana</t>
  </si>
  <si>
    <t>mary</t>
  </si>
  <si>
    <t>valeria</t>
  </si>
  <si>
    <t>vianney</t>
  </si>
  <si>
    <t>Citlali</t>
  </si>
  <si>
    <t>Tarde</t>
  </si>
  <si>
    <t>andrea</t>
  </si>
  <si>
    <t>Totales</t>
  </si>
  <si>
    <t>Jueves 02 de Abril</t>
  </si>
  <si>
    <t>Sabado 02 de Mayo</t>
  </si>
  <si>
    <t>ahorremas</t>
  </si>
  <si>
    <t>bolsas basura</t>
  </si>
  <si>
    <t>kombucha</t>
  </si>
  <si>
    <t>molida</t>
  </si>
  <si>
    <t>col morada</t>
  </si>
  <si>
    <t>Lunes 2 de marzo de 2026</t>
  </si>
  <si>
    <t>cerdo</t>
  </si>
  <si>
    <t>mango</t>
  </si>
  <si>
    <t>Lupita</t>
  </si>
  <si>
    <t>Vianney</t>
  </si>
  <si>
    <t>ruth</t>
  </si>
  <si>
    <t>Lunes 2 de febrero de 2026</t>
  </si>
  <si>
    <t>faltantes</t>
  </si>
  <si>
    <t>fresa</t>
  </si>
  <si>
    <t>Viernes 2  de enero de 2026</t>
  </si>
  <si>
    <t>lupita prp sab</t>
  </si>
  <si>
    <t>Domingo 03 de Mayo</t>
  </si>
  <si>
    <t>hielos</t>
  </si>
  <si>
    <t>sharpie</t>
  </si>
  <si>
    <t>Viernes 03 de Abril</t>
  </si>
  <si>
    <t>alex</t>
  </si>
  <si>
    <t>servilletas</t>
  </si>
  <si>
    <t>Martes 3 de marzo de 2026</t>
  </si>
  <si>
    <t>lupi mierc</t>
  </si>
  <si>
    <t>Sábado 3  de enero de 2026</t>
  </si>
  <si>
    <t>Lunes 04 de Mayo</t>
  </si>
  <si>
    <t>Martes 03 de febrero de 2026</t>
  </si>
  <si>
    <t>Miercoles 4 de marzo de 2026</t>
  </si>
  <si>
    <t>Hielo</t>
  </si>
  <si>
    <t>gas</t>
  </si>
  <si>
    <t>fruteria</t>
  </si>
  <si>
    <t xml:space="preserve">camaron </t>
  </si>
  <si>
    <t>tamarindo</t>
  </si>
  <si>
    <t>limones</t>
  </si>
  <si>
    <t>cilantro</t>
  </si>
  <si>
    <t>aguas</t>
  </si>
  <si>
    <t>Sábado 04 de Abril</t>
  </si>
  <si>
    <t>papel luminio</t>
  </si>
  <si>
    <t>bolsas</t>
  </si>
  <si>
    <t>mich</t>
  </si>
  <si>
    <t>hueso</t>
  </si>
  <si>
    <t>cloro</t>
  </si>
  <si>
    <t>cacahuate</t>
  </si>
  <si>
    <t>te negro</t>
  </si>
  <si>
    <t>Ayudante cocina</t>
  </si>
  <si>
    <t>Martes 05  de Mayo</t>
  </si>
  <si>
    <t>Miercoles 04 de febrero de 2026</t>
  </si>
  <si>
    <t>Jueves 05 de Marzo de 2026</t>
  </si>
  <si>
    <t>toyo</t>
  </si>
  <si>
    <t>Domingo 05 de Abril</t>
  </si>
  <si>
    <t>Domingo 4  de enero de 2026</t>
  </si>
  <si>
    <t>limon</t>
  </si>
  <si>
    <t>Victor</t>
  </si>
  <si>
    <t>Miercoles 06 de Mayo</t>
  </si>
  <si>
    <t>ESTROPAJO</t>
  </si>
  <si>
    <t>Viernes 06 de Marzo de 2026</t>
  </si>
  <si>
    <t>JORGE A</t>
  </si>
  <si>
    <t>CHUY</t>
  </si>
  <si>
    <t>Jueves 05 de febrero de 2026</t>
  </si>
  <si>
    <t>guantes</t>
  </si>
  <si>
    <t>VALERIA.</t>
  </si>
  <si>
    <t>Lupita mierc.</t>
  </si>
  <si>
    <t>importados</t>
  </si>
  <si>
    <t>Lunes 06 de Abril</t>
  </si>
  <si>
    <t>Jueves 07 de Mayo</t>
  </si>
  <si>
    <t>Ruth</t>
  </si>
  <si>
    <t>Sabado 07 de Marzo de 2026</t>
  </si>
  <si>
    <t>miso</t>
  </si>
  <si>
    <t xml:space="preserve"> </t>
  </si>
  <si>
    <t>lunes 5  de enero de 2026</t>
  </si>
  <si>
    <t>manuel propinas</t>
  </si>
  <si>
    <t>Garrafones</t>
  </si>
  <si>
    <t>jabon</t>
  </si>
  <si>
    <t>Viernes 06 de febrero de 2026</t>
  </si>
  <si>
    <t>clau</t>
  </si>
  <si>
    <t>Agua</t>
  </si>
  <si>
    <t>Hueso</t>
  </si>
  <si>
    <t>miercoles lup</t>
  </si>
  <si>
    <t>Martes 07 de Abril</t>
  </si>
  <si>
    <t>Viernes 08 de Mayo</t>
  </si>
  <si>
    <t>martes 6  de enero de 2026</t>
  </si>
  <si>
    <t>Domingo 08 de Marzo de 2026</t>
  </si>
  <si>
    <t xml:space="preserve">lupitamiercoles </t>
  </si>
  <si>
    <t>CLORO</t>
  </si>
  <si>
    <t>JABÓN</t>
  </si>
  <si>
    <t>aluminmio</t>
  </si>
  <si>
    <t>filete</t>
  </si>
  <si>
    <t>CARNE</t>
  </si>
  <si>
    <t>Sabado 7 de febrero de 2026</t>
  </si>
  <si>
    <t>LECHUGA Y COCA ALEX</t>
  </si>
  <si>
    <t>PROPINA CLAUDIA</t>
  </si>
  <si>
    <t>verduras</t>
  </si>
  <si>
    <t>pollo</t>
  </si>
  <si>
    <t>Alex</t>
  </si>
  <si>
    <t>Vale</t>
  </si>
  <si>
    <t>Compras Comer</t>
  </si>
  <si>
    <t>Sabado 09 de Mayo</t>
  </si>
  <si>
    <t>Citlalli</t>
  </si>
  <si>
    <t>Miercoles 08 de Abril</t>
  </si>
  <si>
    <t>Lunes 09 de Marzo de 2026</t>
  </si>
  <si>
    <t>Miercoles 7  de enero de 2026</t>
  </si>
  <si>
    <t>fibra, aroma</t>
  </si>
  <si>
    <t>coca alex</t>
  </si>
  <si>
    <t>fumigacion</t>
  </si>
  <si>
    <t>Domingo 10 de Mayo</t>
  </si>
  <si>
    <t>Domingo 8 de febrero de 2026</t>
  </si>
  <si>
    <t>Jueves 09 de Abril</t>
  </si>
  <si>
    <t>pimiento</t>
  </si>
  <si>
    <t>tienda</t>
  </si>
  <si>
    <t>Martes 10 de Marzo de 2026</t>
  </si>
  <si>
    <t>cubeta</t>
  </si>
  <si>
    <t>Fumigación</t>
  </si>
  <si>
    <t>Jueves 08 de Enero de 2026</t>
  </si>
  <si>
    <t>agua</t>
  </si>
  <si>
    <t>te limon</t>
  </si>
  <si>
    <t>Lunes 11 de Mayo</t>
  </si>
  <si>
    <t>lupita prop</t>
  </si>
  <si>
    <t>Mary</t>
  </si>
  <si>
    <t>valeria.</t>
  </si>
  <si>
    <t>Lunes 9 de febrero de 2026</t>
  </si>
  <si>
    <t>Miercoles 11 de Marzo de 2026</t>
  </si>
  <si>
    <t>Viernes 10 de Abril</t>
  </si>
  <si>
    <t>hielo,fibra</t>
  </si>
  <si>
    <t>ahorra mas</t>
  </si>
  <si>
    <t>mier lupita</t>
  </si>
  <si>
    <t>Viernes 09 de Enero de 2026</t>
  </si>
  <si>
    <t>Martes 12 de Mayo</t>
  </si>
  <si>
    <t>citlali</t>
  </si>
  <si>
    <t>Jorge alex</t>
  </si>
  <si>
    <t>Jueves 12 de Marzo de 2026</t>
  </si>
  <si>
    <t>Martes 10  de febrero de 2026</t>
  </si>
  <si>
    <t>Sabado 11 de Abril</t>
  </si>
  <si>
    <t>papas</t>
  </si>
  <si>
    <t>morron</t>
  </si>
  <si>
    <t xml:space="preserve">especias </t>
  </si>
  <si>
    <t>Sabado 10 de Enero de 2026</t>
  </si>
  <si>
    <t>Miercoles 13  de Mayo</t>
  </si>
  <si>
    <t>ahorra+</t>
  </si>
  <si>
    <t>fideos</t>
  </si>
  <si>
    <t>Miercoles 11  de febrero de 2026</t>
  </si>
  <si>
    <t>Viernes 13 de Marzo de 2026</t>
  </si>
  <si>
    <t>azucar papa</t>
  </si>
  <si>
    <t>papel aluminio</t>
  </si>
  <si>
    <t>Domingo 12 de Abril</t>
  </si>
  <si>
    <t>pepino</t>
  </si>
  <si>
    <t>litros</t>
  </si>
  <si>
    <t>rabano</t>
  </si>
  <si>
    <t>aceite ajonjoli</t>
  </si>
  <si>
    <t>juana</t>
  </si>
  <si>
    <t>Jueves 14 de Mayo</t>
  </si>
  <si>
    <t>chely</t>
  </si>
  <si>
    <t>veneno</t>
  </si>
  <si>
    <t>Domingo 11 de Enero de 2026</t>
  </si>
  <si>
    <t xml:space="preserve">hielo </t>
  </si>
  <si>
    <t>Olvera</t>
  </si>
  <si>
    <t>palillos</t>
  </si>
  <si>
    <t>Jueves 12  de febrero de 2026</t>
  </si>
  <si>
    <t>Aceite</t>
  </si>
  <si>
    <t>Sábado 14 de marzo</t>
  </si>
  <si>
    <t>Pimiento</t>
  </si>
  <si>
    <t>Pepino</t>
  </si>
  <si>
    <t>jabon roma</t>
  </si>
  <si>
    <t>camarones</t>
  </si>
  <si>
    <t>REY</t>
  </si>
  <si>
    <t>Cerveza</t>
  </si>
  <si>
    <t>Lunes 13 de Abril</t>
  </si>
  <si>
    <t>Mich</t>
  </si>
  <si>
    <t>Viernes 15 de Mayo</t>
  </si>
  <si>
    <t>cerillos</t>
  </si>
  <si>
    <t>brocoli</t>
  </si>
  <si>
    <t>certdo</t>
  </si>
  <si>
    <t>Viernes 13  de febrero de 2026</t>
  </si>
  <si>
    <t>Lunes 12 de Enero de 2026</t>
  </si>
  <si>
    <t>agua lourdes</t>
  </si>
  <si>
    <t>lupita mierc</t>
  </si>
  <si>
    <t>chile</t>
  </si>
  <si>
    <t>cherry</t>
  </si>
  <si>
    <t>Domingo  15 de marzo</t>
  </si>
  <si>
    <t>Martes 14 de Abril</t>
  </si>
  <si>
    <t>Sabado 16 de Mayo</t>
  </si>
  <si>
    <t>jitomate</t>
  </si>
  <si>
    <t>ray</t>
  </si>
  <si>
    <t>Sabado 14  de febrero de 2026</t>
  </si>
  <si>
    <t>Martes 13 de Enero de 2026</t>
  </si>
  <si>
    <t>tapas</t>
  </si>
  <si>
    <t>Lunes 16 de marzo</t>
  </si>
  <si>
    <t>lechuga</t>
  </si>
  <si>
    <t>cerdp</t>
  </si>
  <si>
    <t>servilleta y bolsa</t>
  </si>
  <si>
    <t xml:space="preserve">carne de cerdo </t>
  </si>
  <si>
    <t>Miercoles 15 de Abril</t>
  </si>
  <si>
    <t>pan</t>
  </si>
  <si>
    <t>Domingo 17 de Mayo</t>
  </si>
  <si>
    <t>Lupita sabado</t>
  </si>
  <si>
    <t>jabón Roma</t>
  </si>
  <si>
    <t xml:space="preserve">Pastilla de olor </t>
  </si>
  <si>
    <t>azucar</t>
  </si>
  <si>
    <t>tapas botecitos</t>
  </si>
  <si>
    <t>Rey</t>
  </si>
  <si>
    <t>chuy propinas</t>
  </si>
  <si>
    <t>Miércoles 14 de Enero de 2026</t>
  </si>
  <si>
    <t>Martes 17 de marzo</t>
  </si>
  <si>
    <t>Jueves 16  de Abril</t>
  </si>
  <si>
    <t>Alex agua</t>
  </si>
  <si>
    <t>manzana</t>
  </si>
  <si>
    <t>Lunes 18 de Mayo</t>
  </si>
  <si>
    <t>Domingo 15  de febrero de 2026</t>
  </si>
  <si>
    <t xml:space="preserve">ahorremas </t>
  </si>
  <si>
    <t>tomaron</t>
  </si>
  <si>
    <t>aceite, limon y pepeino</t>
  </si>
  <si>
    <t>agua mineral</t>
  </si>
  <si>
    <t>Miércoles 18 de marzo</t>
  </si>
  <si>
    <t>Virnes 17  de Abril</t>
  </si>
  <si>
    <t>Jueves 15 de Enero de 2026</t>
  </si>
  <si>
    <t>Martes 19de Mayo</t>
  </si>
  <si>
    <t>Mari</t>
  </si>
  <si>
    <t>Lunes 16  de febrero de 2026</t>
  </si>
  <si>
    <t>Jueves 19 de Marzo</t>
  </si>
  <si>
    <t>cebolla</t>
  </si>
  <si>
    <t>cepillo baño</t>
  </si>
  <si>
    <t>Sábado 18  de Abril</t>
  </si>
  <si>
    <t>Viernes 16 de Enero de 2026</t>
  </si>
  <si>
    <t>Miercoles 20 de Mayo</t>
  </si>
  <si>
    <t xml:space="preserve"> Martes 17  de febrero de 2026</t>
  </si>
  <si>
    <t>Viernes 20 de Marzo</t>
  </si>
  <si>
    <t>pulpa de tamarindo</t>
  </si>
  <si>
    <t>citlalli</t>
  </si>
  <si>
    <t>Domingo 19de Abril</t>
  </si>
  <si>
    <t>Juana</t>
  </si>
  <si>
    <t>Jueves 21 de Mayo</t>
  </si>
  <si>
    <t>Sabado 17 enero de 2026</t>
  </si>
  <si>
    <t>Sabado 21 de Marzo</t>
  </si>
  <si>
    <t>pollo y verd.</t>
  </si>
  <si>
    <t>Verduras</t>
  </si>
  <si>
    <t>Miercoles 18 de febrero de 2026</t>
  </si>
  <si>
    <t>garrafon</t>
  </si>
  <si>
    <t>comandas</t>
  </si>
  <si>
    <t>tortilla burrera</t>
  </si>
  <si>
    <t>jugo naranja</t>
  </si>
  <si>
    <t xml:space="preserve">tortilla </t>
  </si>
  <si>
    <t>Lunes 20 de Abril</t>
  </si>
  <si>
    <t>crema de coco</t>
  </si>
  <si>
    <t>Viernes 22 de Mayo</t>
  </si>
  <si>
    <t>huevo mango</t>
  </si>
  <si>
    <t>Domingo 18 enero de 2026</t>
  </si>
  <si>
    <t>tortillas</t>
  </si>
  <si>
    <t>frutas</t>
  </si>
  <si>
    <t>Cervezas</t>
  </si>
  <si>
    <t>lupita miercoles</t>
  </si>
  <si>
    <t>Chile y aceite</t>
  </si>
  <si>
    <t>arrachera</t>
  </si>
  <si>
    <t>Jueves 19 de febrero de 2026</t>
  </si>
  <si>
    <t>Domingo 22 de Marzo</t>
  </si>
  <si>
    <t>leche</t>
  </si>
  <si>
    <t>Martes 21 de Abril</t>
  </si>
  <si>
    <t>carne molida</t>
  </si>
  <si>
    <t>Sabado 23 de Mayo</t>
  </si>
  <si>
    <t>plumas</t>
  </si>
  <si>
    <t>papa</t>
  </si>
  <si>
    <t>Lunes 19 enero de 2026</t>
  </si>
  <si>
    <t>Viernes 20 de febrero de 2026</t>
  </si>
  <si>
    <t>Lunes 23 de Marzo</t>
  </si>
  <si>
    <t>bolsas de basura</t>
  </si>
  <si>
    <t>sofi</t>
  </si>
  <si>
    <t>Miercoles 22 de Abril</t>
  </si>
  <si>
    <t>Domingo 24 de Mayo</t>
  </si>
  <si>
    <t xml:space="preserve">citlalli </t>
  </si>
  <si>
    <t>Martes 20 de Enero de 2026</t>
  </si>
  <si>
    <t>Sabado 21 de febrero de 2026</t>
  </si>
  <si>
    <t>papel y sanitas</t>
  </si>
  <si>
    <t>Martes 24 de Marzo</t>
  </si>
  <si>
    <t>Jueves 23 de Abril</t>
  </si>
  <si>
    <t>Miercoles 21 de Enero de 2026</t>
  </si>
  <si>
    <t>Miercoles 25 de Marzo</t>
  </si>
  <si>
    <t>Viernes 24  de Abril</t>
  </si>
  <si>
    <t>Domingo 22 de febrero de 2026</t>
  </si>
  <si>
    <t>mierc lupita</t>
  </si>
  <si>
    <t>Jueves 26 de Marzo</t>
  </si>
  <si>
    <t>Jueves 22 de Enero de 2026</t>
  </si>
  <si>
    <t>Lunes 23 de febrero de 2026</t>
  </si>
  <si>
    <t>Sabado 25  de Abril</t>
  </si>
  <si>
    <t>ppel aluminio</t>
  </si>
  <si>
    <t>salsa de pescado</t>
  </si>
  <si>
    <t>varduleria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</si>
  <si>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</si>
  <si>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</si>
  <si>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</t>
  </si>
  <si>
    <t>Martes 24 de febrero de 2026</t>
  </si>
  <si>
    <t>Viernes 27 de Marzo</t>
  </si>
  <si>
    <t>Viernes 23 de Enero de 2026</t>
  </si>
  <si>
    <t>mango, morron</t>
  </si>
  <si>
    <t>domingo 26  de Abril</t>
  </si>
  <si>
    <t>burreras</t>
  </si>
  <si>
    <t>lu mier</t>
  </si>
  <si>
    <t xml:space="preserve">cebolla </t>
  </si>
  <si>
    <t>Miercoles 25 de febrero de 2026</t>
  </si>
  <si>
    <t>te y pepino</t>
  </si>
  <si>
    <t>Lunes 27 de Abril</t>
  </si>
  <si>
    <t>Sábado 24 de Enero de 2026</t>
  </si>
  <si>
    <t>Cerillos</t>
  </si>
  <si>
    <t>fabuloso</t>
  </si>
  <si>
    <t>Comandas</t>
  </si>
  <si>
    <t>Jueves 26 de febrero de 2026</t>
  </si>
  <si>
    <t>Sábado 28 de Marzo</t>
  </si>
  <si>
    <t>pastilla baño</t>
  </si>
  <si>
    <t>Domingo 25 de Enero de 2026</t>
  </si>
  <si>
    <t>Viernes 27 de febrero de 2026</t>
  </si>
  <si>
    <t>Domingo 29 de Marzo</t>
  </si>
  <si>
    <t>azúcar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</si>
  <si>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</si>
  <si>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Martes 28 de Abril</t>
  </si>
  <si>
    <t>Sábado 28 de febrero de 2026</t>
  </si>
  <si>
    <t>libreta</t>
  </si>
  <si>
    <t>Lunes 30 de Marzo</t>
  </si>
  <si>
    <t>Miercoles 29 de Abril</t>
  </si>
  <si>
    <t>Lunes 26 de Enero de 2026</t>
  </si>
  <si>
    <t>Martes 31 de Marzo</t>
  </si>
  <si>
    <t>Jueves 30 de Abril</t>
  </si>
  <si>
    <t>ajax</t>
  </si>
  <si>
    <t>Martes 27 de Enero de 2026</t>
  </si>
  <si>
    <t>Miercoles 28 de Enero de 2026</t>
  </si>
  <si>
    <t>Jueves 29 de Enero de 2026</t>
  </si>
  <si>
    <t>Viernes 30 de Enero de 2026</t>
  </si>
  <si>
    <t>ajo,cebolla,apio</t>
  </si>
  <si>
    <t>Sabado 31 de Enero de 2026</t>
  </si>
  <si>
    <t>ENERO</t>
  </si>
  <si>
    <t>ENTRADAS</t>
  </si>
  <si>
    <t>SALIDAS</t>
  </si>
  <si>
    <t>TOTAL</t>
  </si>
  <si>
    <t>FEBERO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</si>
  <si>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</si>
  <si>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</si>
  <si>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</si>
  <si>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</si>
  <si>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</si>
  <si>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</si>
  <si>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</si>
  <si>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</si>
  <si>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</si>
  <si>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</si>
  <si>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TOTALES</t>
  </si>
  <si>
    <t>MES</t>
  </si>
  <si>
    <t>INGRESOS</t>
  </si>
  <si>
    <t>EGRESOS</t>
  </si>
  <si>
    <t>FEBRERO</t>
  </si>
  <si>
    <t>Clau</t>
  </si>
  <si>
    <t>articulo</t>
  </si>
  <si>
    <t>cantidad inicial</t>
  </si>
  <si>
    <t>cantidad enexistencia</t>
  </si>
  <si>
    <t>precio al publico</t>
  </si>
  <si>
    <t>alga tostada</t>
  </si>
  <si>
    <t>rollo alga tostada</t>
  </si>
  <si>
    <t>pan de frijol dulce</t>
  </si>
  <si>
    <t>dulce bloques</t>
  </si>
  <si>
    <t>pan relleno de mermelada</t>
  </si>
  <si>
    <t>gelatina</t>
  </si>
  <si>
    <t xml:space="preserve">mochi </t>
  </si>
  <si>
    <t>bomboness rellenos</t>
  </si>
  <si>
    <t>dulce de ciruela</t>
  </si>
  <si>
    <t>gomitas</t>
  </si>
  <si>
    <t>gomitas de limon</t>
  </si>
  <si>
    <t>galleta dulce</t>
  </si>
  <si>
    <t>LUNES</t>
  </si>
  <si>
    <t>MARTES</t>
  </si>
  <si>
    <t>MIERCOLES</t>
  </si>
  <si>
    <t>JUEVES</t>
  </si>
  <si>
    <t>VIERNES</t>
  </si>
  <si>
    <t>SABADO</t>
  </si>
  <si>
    <t>DOMIGO</t>
  </si>
  <si>
    <t>10am-4pm</t>
  </si>
  <si>
    <t>4pm-10 pm</t>
  </si>
  <si>
    <t>1:30-9:30</t>
  </si>
  <si>
    <t>Lista de importados</t>
  </si>
  <si>
    <t>2 Salsa de pescado</t>
  </si>
  <si>
    <t>1 Kg curry amarillo</t>
  </si>
  <si>
    <t>1 lata salsa de ostion</t>
  </si>
  <si>
    <t>1 lata salsa hoisin</t>
  </si>
  <si>
    <t>1 Lata salsa de anguila</t>
  </si>
  <si>
    <t>3 Botellas soya dulce</t>
  </si>
  <si>
    <t>1 Bota Sriracha</t>
  </si>
  <si>
    <t>1 Bote Sambal</t>
  </si>
  <si>
    <t>1 Bote viangre de arroz</t>
  </si>
  <si>
    <t>1 lata aceite ajonjoli</t>
  </si>
  <si>
    <t>1 Botella sake</t>
  </si>
  <si>
    <t>1.5kg pasta miso</t>
  </si>
  <si>
    <t>1 Bolsa wakame</t>
  </si>
  <si>
    <t>1 Hon dashi</t>
  </si>
  <si>
    <t>2 piezas gyosas</t>
  </si>
  <si>
    <t>10 pzas tofu extrafirme</t>
  </si>
  <si>
    <t>2 palillo bamboo</t>
  </si>
  <si>
    <t>1 caja tarallin de arroz 5mm</t>
  </si>
  <si>
    <t>6 pzas fideo vermicelli</t>
  </si>
  <si>
    <t>4 pzas fideo huevo</t>
  </si>
  <si>
    <t>2 paquetes hoja de arroz</t>
  </si>
  <si>
    <t>2 leche de coco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</si>
</sst>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176" formatCode="_ * #,##0.00_ ;_ * \-#,##0.00_ ;_ * &quot;-&quot;??_ ;_ @_ "/>
    <numFmt numFmtId="177" formatCode="_-&quot;$&quot;* #,##0.00_-;\-&quot;$&quot;* #,##0.00_-;_-&quot;$&quot;* &quot;-&quot;??_-;_-@_-"/>
    <numFmt numFmtId="178" formatCode="_ * #,##0_ ;_ * \-#,##0_ ;_ * &quot;-&quot;_ ;_ @_ "/>
    <numFmt numFmtId="179" formatCode="&quot;$&quot;#,##0.00"/>
  </numFmts>
  <fonts count="24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sz val="11"/>
      <color theme="0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57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2" tint="-0.2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88C08D"/>
        <bgColor indexed="64"/>
      </patternFill>
    </fill>
    <fill>
      <patternFill patternType="solid">
        <fgColor rgb="FF46CACC"/>
        <bgColor indexed="64"/>
      </patternFill>
    </fill>
    <fill>
      <patternFill patternType="solid">
        <fgColor rgb="FFFAA99D"/>
        <bgColor indexed="64"/>
      </patternFill>
    </fill>
    <fill>
      <patternFill patternType="solid">
        <fgColor rgb="FFCDB3D6"/>
        <bgColor indexed="64"/>
      </patternFill>
    </fill>
    <fill>
      <patternFill patternType="solid">
        <fgColor rgb="FF63BCCC"/>
        <bgColor indexed="64"/>
      </patternFill>
    </fill>
    <fill>
      <patternFill patternType="solid">
        <fgColor rgb="FFE9941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45066682943"/>
        <bgColor indexed="64"/>
      </patternFill>
    </fill>
    <fill>
      <patternFill patternType="solid">
        <fgColor theme="8" tint="0.399945066682943"/>
        <bgColor indexed="64"/>
      </patternFill>
    </fill>
    <fill>
      <patternFill patternType="solid">
        <fgColor rgb="FFFF6565"/>
        <bgColor indexed="64"/>
      </patternFill>
    </fill>
    <fill>
      <patternFill patternType="solid">
        <fgColor theme="3" tint="0.6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3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theme="0" tint="-0.149937437055574"/>
      </top>
      <bottom style="thin">
        <color theme="0" tint="-0.149937437055574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theme="0" tint="-0.149937437055574"/>
      </top>
      <bottom style="thin">
        <color theme="0" tint="-0.149937437055574"/>
      </bottom>
      <diagonal/>
    </border>
    <border>
      <left style="medium">
        <color auto="1"/>
      </left>
      <right/>
      <top style="medium">
        <color auto="1"/>
      </top>
      <bottom style="thin">
        <color theme="0" tint="-0.149937437055574"/>
      </bottom>
      <diagonal/>
    </border>
    <border>
      <left/>
      <right style="medium">
        <color auto="1"/>
      </right>
      <top style="medium">
        <color auto="1"/>
      </top>
      <bottom style="thin">
        <color theme="0" tint="-0.14993743705557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theme="0" tint="-0.149937437055574"/>
      </top>
      <bottom style="thin">
        <color theme="0" tint="-0.149937437055574"/>
      </bottom>
      <diagonal/>
    </border>
    <border>
      <left/>
      <right style="medium">
        <color auto="1"/>
      </right>
      <top style="thin">
        <color theme="0" tint="-0.149937437055574"/>
      </top>
      <bottom style="thin">
        <color theme="0" tint="-0.14993743705557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theme="0" tint="-0.149937437055574"/>
      </top>
      <bottom style="medium">
        <color auto="1"/>
      </bottom>
      <diagonal/>
    </border>
    <border>
      <left/>
      <right style="medium">
        <color auto="1"/>
      </right>
      <top style="thin">
        <color theme="0" tint="-0.149937437055574"/>
      </top>
      <bottom style="medium">
        <color auto="1"/>
      </bottom>
      <diagonal/>
    </border>
    <border>
      <left style="medium">
        <color auto="1"/>
      </left>
      <right/>
      <top style="thin">
        <color theme="0" tint="-0.149937437055574"/>
      </top>
      <bottom/>
      <diagonal/>
    </border>
    <border>
      <left/>
      <right style="medium">
        <color auto="1"/>
      </right>
      <top style="thin">
        <color theme="0" tint="-0.149937437055574"/>
      </top>
      <bottom/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2" borderId="28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9" applyNumberFormat="0" applyFill="0" applyAlignment="0" applyProtection="0">
      <alignment vertical="center"/>
    </xf>
    <xf numFmtId="0" fontId="11" fillId="0" borderId="29" applyNumberFormat="0" applyFill="0" applyAlignment="0" applyProtection="0">
      <alignment vertical="center"/>
    </xf>
    <xf numFmtId="0" fontId="12" fillId="0" borderId="30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3" borderId="31" applyNumberFormat="0" applyAlignment="0" applyProtection="0">
      <alignment vertical="center"/>
    </xf>
    <xf numFmtId="0" fontId="14" fillId="34" borderId="32" applyNumberFormat="0" applyAlignment="0" applyProtection="0">
      <alignment vertical="center"/>
    </xf>
    <xf numFmtId="0" fontId="15" fillId="34" borderId="31" applyNumberFormat="0" applyAlignment="0" applyProtection="0">
      <alignment vertical="center"/>
    </xf>
    <xf numFmtId="0" fontId="16" fillId="35" borderId="33" applyNumberFormat="0" applyAlignment="0" applyProtection="0">
      <alignment vertical="center"/>
    </xf>
    <xf numFmtId="0" fontId="17" fillId="0" borderId="34" applyNumberFormat="0" applyFill="0" applyAlignment="0" applyProtection="0">
      <alignment vertical="center"/>
    </xf>
    <xf numFmtId="0" fontId="18" fillId="0" borderId="35" applyNumberFormat="0" applyFill="0" applyAlignment="0" applyProtection="0">
      <alignment vertical="center"/>
    </xf>
    <xf numFmtId="0" fontId="19" fillId="36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3" fillId="4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41" borderId="0" applyNumberFormat="0" applyBorder="0" applyAlignment="0" applyProtection="0">
      <alignment vertical="center"/>
    </xf>
    <xf numFmtId="0" fontId="23" fillId="42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3" fillId="45" borderId="0" applyNumberFormat="0" applyBorder="0" applyAlignment="0" applyProtection="0">
      <alignment vertical="center"/>
    </xf>
    <xf numFmtId="0" fontId="23" fillId="46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3" fillId="49" borderId="0" applyNumberFormat="0" applyBorder="0" applyAlignment="0" applyProtection="0">
      <alignment vertical="center"/>
    </xf>
    <xf numFmtId="0" fontId="23" fillId="50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3" fillId="52" borderId="0" applyNumberFormat="0" applyBorder="0" applyAlignment="0" applyProtection="0">
      <alignment vertical="center"/>
    </xf>
    <xf numFmtId="0" fontId="23" fillId="53" borderId="0" applyNumberFormat="0" applyBorder="0" applyAlignment="0" applyProtection="0">
      <alignment vertical="center"/>
    </xf>
    <xf numFmtId="0" fontId="22" fillId="54" borderId="0" applyNumberFormat="0" applyBorder="0" applyAlignment="0" applyProtection="0">
      <alignment vertical="center"/>
    </xf>
    <xf numFmtId="0" fontId="22" fillId="2" borderId="0" applyNumberFormat="0" applyBorder="0" applyAlignment="0" applyProtection="0">
      <alignment vertical="center"/>
    </xf>
    <xf numFmtId="0" fontId="23" fillId="55" borderId="0" applyNumberFormat="0" applyBorder="0" applyAlignment="0" applyProtection="0">
      <alignment vertical="center"/>
    </xf>
    <xf numFmtId="0" fontId="23" fillId="56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</cellStyleXfs>
  <cellXfs count="141">
    <xf numFmtId="0" fontId="0" fillId="0" borderId="0" xfId="0"/>
    <xf numFmtId="0" fontId="0" fillId="2" borderId="0" xfId="0" applyFill="1"/>
    <xf numFmtId="0" fontId="0" fillId="3" borderId="0" xfId="0" applyFill="1" applyBorder="1"/>
    <xf numFmtId="0" fontId="0" fillId="3" borderId="0" xfId="0" applyFill="1"/>
    <xf numFmtId="0" fontId="0" fillId="0" borderId="0" xfId="0" applyFill="1" applyBorder="1"/>
    <xf numFmtId="0" fontId="0" fillId="4" borderId="0" xfId="0" applyFill="1" applyBorder="1"/>
    <xf numFmtId="0" fontId="0" fillId="5" borderId="0" xfId="0" applyFill="1" applyBorder="1"/>
    <xf numFmtId="0" fontId="0" fillId="6" borderId="0" xfId="0" applyFill="1" applyBorder="1"/>
    <xf numFmtId="0" fontId="1" fillId="7" borderId="0" xfId="0" applyFont="1" applyFill="1" applyBorder="1"/>
    <xf numFmtId="0" fontId="1" fillId="5" borderId="0" xfId="0" applyFont="1" applyFill="1" applyBorder="1"/>
    <xf numFmtId="0" fontId="0" fillId="7" borderId="0" xfId="0" applyFill="1" applyBorder="1"/>
    <xf numFmtId="0" fontId="0" fillId="8" borderId="0" xfId="0" applyFill="1" applyBorder="1"/>
    <xf numFmtId="0" fontId="0" fillId="9" borderId="1" xfId="0" applyFill="1" applyBorder="1" applyAlignment="1">
      <alignment horizontal="center"/>
    </xf>
    <xf numFmtId="0" fontId="0" fillId="0" borderId="1" xfId="0" applyBorder="1"/>
    <xf numFmtId="0" fontId="0" fillId="0" borderId="2" xfId="0" applyBorder="1"/>
    <xf numFmtId="16" fontId="0" fillId="0" borderId="0" xfId="0" applyNumberFormat="1"/>
    <xf numFmtId="0" fontId="0" fillId="10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179" fontId="0" fillId="0" borderId="1" xfId="0" applyNumberFormat="1" applyBorder="1"/>
    <xf numFmtId="0" fontId="0" fillId="13" borderId="1" xfId="0" applyFill="1" applyBorder="1"/>
    <xf numFmtId="177" fontId="0" fillId="11" borderId="1" xfId="2" applyFont="1" applyFill="1" applyBorder="1"/>
    <xf numFmtId="177" fontId="2" fillId="12" borderId="1" xfId="2" applyFont="1" applyFill="1" applyBorder="1"/>
    <xf numFmtId="179" fontId="0" fillId="13" borderId="1" xfId="0" applyNumberFormat="1" applyFill="1" applyBorder="1"/>
    <xf numFmtId="179" fontId="0" fillId="0" borderId="0" xfId="0" applyNumberFormat="1"/>
    <xf numFmtId="0" fontId="0" fillId="14" borderId="1" xfId="0" applyFill="1" applyBorder="1" applyAlignment="1">
      <alignment horizontal="center"/>
    </xf>
    <xf numFmtId="179" fontId="0" fillId="11" borderId="1" xfId="0" applyNumberFormat="1" applyFill="1" applyBorder="1" applyAlignment="1">
      <alignment horizontal="center"/>
    </xf>
    <xf numFmtId="179" fontId="2" fillId="12" borderId="1" xfId="0" applyNumberFormat="1" applyFont="1" applyFill="1" applyBorder="1" applyAlignment="1">
      <alignment horizontal="center"/>
    </xf>
    <xf numFmtId="0" fontId="0" fillId="13" borderId="1" xfId="0" applyFill="1" applyBorder="1" applyAlignment="1">
      <alignment horizontal="center"/>
    </xf>
    <xf numFmtId="58" fontId="0" fillId="0" borderId="1" xfId="0" applyNumberFormat="1" applyBorder="1"/>
    <xf numFmtId="179" fontId="0" fillId="11" borderId="1" xfId="0" applyNumberFormat="1" applyFill="1" applyBorder="1"/>
    <xf numFmtId="179" fontId="2" fillId="12" borderId="1" xfId="0" applyNumberFormat="1" applyFont="1" applyFill="1" applyBorder="1"/>
    <xf numFmtId="177" fontId="3" fillId="15" borderId="3" xfId="0" applyNumberFormat="1" applyFont="1" applyFill="1" applyBorder="1" applyAlignment="1">
      <alignment horizontal="center" vertical="center" wrapText="1"/>
    </xf>
    <xf numFmtId="177" fontId="3" fillId="15" borderId="4" xfId="0" applyNumberFormat="1" applyFont="1" applyFill="1" applyBorder="1" applyAlignment="1">
      <alignment horizontal="center" vertical="center" wrapText="1"/>
    </xf>
    <xf numFmtId="177" fontId="3" fillId="15" borderId="5" xfId="0" applyNumberFormat="1" applyFont="1" applyFill="1" applyBorder="1" applyAlignment="1">
      <alignment horizontal="center" vertical="center" wrapText="1"/>
    </xf>
    <xf numFmtId="177" fontId="3" fillId="15" borderId="6" xfId="0" applyNumberFormat="1" applyFont="1" applyFill="1" applyBorder="1" applyAlignment="1">
      <alignment horizontal="center" vertical="center" wrapText="1"/>
    </xf>
    <xf numFmtId="177" fontId="3" fillId="15" borderId="7" xfId="0" applyNumberFormat="1" applyFont="1" applyFill="1" applyBorder="1" applyAlignment="1">
      <alignment horizontal="center" vertical="center" wrapText="1"/>
    </xf>
    <xf numFmtId="177" fontId="3" fillId="15" borderId="8" xfId="0" applyNumberFormat="1" applyFont="1" applyFill="1" applyBorder="1" applyAlignment="1">
      <alignment horizontal="center" vertical="center" wrapText="1"/>
    </xf>
    <xf numFmtId="177" fontId="4" fillId="16" borderId="9" xfId="0" applyNumberFormat="1" applyFont="1" applyFill="1" applyBorder="1" applyAlignment="1">
      <alignment horizontal="center" vertical="center" wrapText="1"/>
    </xf>
    <xf numFmtId="177" fontId="4" fillId="17" borderId="10" xfId="0" applyNumberFormat="1" applyFont="1" applyFill="1" applyBorder="1" applyAlignment="1">
      <alignment horizontal="center" wrapText="1"/>
    </xf>
    <xf numFmtId="177" fontId="4" fillId="17" borderId="11" xfId="0" applyNumberFormat="1" applyFont="1" applyFill="1" applyBorder="1" applyAlignment="1">
      <alignment horizontal="center" wrapText="1"/>
    </xf>
    <xf numFmtId="177" fontId="4" fillId="18" borderId="10" xfId="0" applyNumberFormat="1" applyFont="1" applyFill="1" applyBorder="1" applyAlignment="1">
      <alignment horizontal="center" wrapText="1"/>
    </xf>
    <xf numFmtId="177" fontId="4" fillId="18" borderId="11" xfId="0" applyNumberFormat="1" applyFont="1" applyFill="1" applyBorder="1" applyAlignment="1">
      <alignment horizontal="center" wrapText="1"/>
    </xf>
    <xf numFmtId="177" fontId="4" fillId="19" borderId="3" xfId="0" applyNumberFormat="1" applyFont="1" applyFill="1" applyBorder="1" applyAlignment="1">
      <alignment horizontal="center" vertical="center" wrapText="1"/>
    </xf>
    <xf numFmtId="177" fontId="4" fillId="19" borderId="4" xfId="0" applyNumberFormat="1" applyFont="1" applyFill="1" applyBorder="1" applyAlignment="1">
      <alignment horizontal="center" vertical="center" wrapText="1"/>
    </xf>
    <xf numFmtId="177" fontId="4" fillId="19" borderId="5" xfId="0" applyNumberFormat="1" applyFont="1" applyFill="1" applyBorder="1" applyAlignment="1">
      <alignment horizontal="center" vertical="center" wrapText="1"/>
    </xf>
    <xf numFmtId="177" fontId="4" fillId="20" borderId="10" xfId="0" applyNumberFormat="1" applyFont="1" applyFill="1" applyBorder="1" applyAlignment="1">
      <alignment horizontal="left" vertical="top" wrapText="1"/>
    </xf>
    <xf numFmtId="177" fontId="4" fillId="20" borderId="11" xfId="0" applyNumberFormat="1" applyFont="1" applyFill="1" applyBorder="1" applyAlignment="1">
      <alignment horizontal="left" vertical="top" wrapText="1"/>
    </xf>
    <xf numFmtId="177" fontId="4" fillId="20" borderId="12" xfId="0" applyNumberFormat="1" applyFont="1" applyFill="1" applyBorder="1" applyAlignment="1">
      <alignment wrapText="1"/>
    </xf>
    <xf numFmtId="177" fontId="4" fillId="16" borderId="13" xfId="0" applyNumberFormat="1" applyFont="1" applyFill="1" applyBorder="1" applyAlignment="1">
      <alignment horizontal="center" vertical="center" wrapText="1"/>
    </xf>
    <xf numFmtId="177" fontId="4" fillId="17" borderId="12" xfId="0" applyNumberFormat="1" applyFont="1" applyFill="1" applyBorder="1" applyAlignment="1">
      <alignment horizontal="center"/>
    </xf>
    <xf numFmtId="177" fontId="4" fillId="18" borderId="12" xfId="0" applyNumberFormat="1" applyFont="1" applyFill="1" applyBorder="1" applyAlignment="1">
      <alignment horizontal="center"/>
    </xf>
    <xf numFmtId="177" fontId="4" fillId="19" borderId="6" xfId="0" applyNumberFormat="1" applyFont="1" applyFill="1" applyBorder="1" applyAlignment="1">
      <alignment horizontal="center" vertical="center" wrapText="1"/>
    </xf>
    <xf numFmtId="177" fontId="4" fillId="19" borderId="7" xfId="0" applyNumberFormat="1" applyFont="1" applyFill="1" applyBorder="1" applyAlignment="1">
      <alignment horizontal="center" vertical="center" wrapText="1"/>
    </xf>
    <xf numFmtId="177" fontId="4" fillId="19" borderId="8" xfId="0" applyNumberFormat="1" applyFont="1" applyFill="1" applyBorder="1" applyAlignment="1">
      <alignment horizontal="center" vertical="center" wrapText="1"/>
    </xf>
    <xf numFmtId="177" fontId="4" fillId="20" borderId="10" xfId="0" applyNumberFormat="1" applyFont="1" applyFill="1" applyBorder="1" applyAlignment="1">
      <alignment horizontal="left" wrapText="1"/>
    </xf>
    <xf numFmtId="177" fontId="4" fillId="20" borderId="11" xfId="0" applyNumberFormat="1" applyFont="1" applyFill="1" applyBorder="1" applyAlignment="1">
      <alignment horizontal="left" wrapText="1"/>
    </xf>
    <xf numFmtId="177" fontId="0" fillId="0" borderId="0" xfId="0" applyNumberFormat="1"/>
    <xf numFmtId="177" fontId="0" fillId="21" borderId="14" xfId="0" applyNumberFormat="1" applyFill="1" applyBorder="1"/>
    <xf numFmtId="177" fontId="0" fillId="21" borderId="15" xfId="0" applyNumberFormat="1" applyFill="1" applyBorder="1"/>
    <xf numFmtId="177" fontId="0" fillId="21" borderId="16" xfId="0" applyNumberFormat="1" applyFill="1" applyBorder="1"/>
    <xf numFmtId="177" fontId="0" fillId="21" borderId="0" xfId="0" applyNumberFormat="1" applyFill="1"/>
    <xf numFmtId="177" fontId="0" fillId="21" borderId="17" xfId="0" applyNumberFormat="1" applyFont="1" applyFill="1" applyBorder="1" applyAlignment="1">
      <alignment horizontal="center"/>
    </xf>
    <xf numFmtId="177" fontId="0" fillId="21" borderId="18" xfId="0" applyNumberFormat="1" applyFont="1" applyFill="1" applyBorder="1" applyAlignment="1">
      <alignment horizontal="center"/>
    </xf>
    <xf numFmtId="177" fontId="4" fillId="20" borderId="19" xfId="0" applyNumberFormat="1" applyFont="1" applyFill="1" applyBorder="1" applyAlignment="1">
      <alignment horizontal="center"/>
    </xf>
    <xf numFmtId="177" fontId="4" fillId="20" borderId="11" xfId="0" applyNumberFormat="1" applyFont="1" applyFill="1" applyBorder="1" applyAlignment="1">
      <alignment horizontal="center"/>
    </xf>
    <xf numFmtId="177" fontId="4" fillId="20" borderId="13" xfId="0" applyNumberFormat="1" applyFont="1" applyFill="1" applyBorder="1" applyAlignment="1">
      <alignment wrapText="1"/>
    </xf>
    <xf numFmtId="177" fontId="0" fillId="21" borderId="15" xfId="0" applyNumberFormat="1" applyFont="1" applyFill="1" applyBorder="1"/>
    <xf numFmtId="177" fontId="0" fillId="0" borderId="14" xfId="0" applyNumberFormat="1" applyBorder="1"/>
    <xf numFmtId="177" fontId="0" fillId="0" borderId="16" xfId="0" applyNumberFormat="1" applyBorder="1"/>
    <xf numFmtId="177" fontId="0" fillId="0" borderId="16" xfId="0" applyNumberFormat="1" applyFont="1" applyBorder="1"/>
    <xf numFmtId="177" fontId="0" fillId="0" borderId="20" xfId="0" applyNumberFormat="1" applyFont="1" applyBorder="1" applyAlignment="1">
      <alignment horizontal="center"/>
    </xf>
    <xf numFmtId="177" fontId="0" fillId="0" borderId="21" xfId="0" applyNumberFormat="1" applyFont="1" applyBorder="1" applyAlignment="1">
      <alignment horizontal="center"/>
    </xf>
    <xf numFmtId="177" fontId="4" fillId="20" borderId="19" xfId="0" applyNumberFormat="1" applyFont="1" applyFill="1" applyBorder="1" applyAlignment="1">
      <alignment horizontal="left" wrapText="1"/>
    </xf>
    <xf numFmtId="177" fontId="0" fillId="21" borderId="20" xfId="0" applyNumberFormat="1" applyFont="1" applyFill="1" applyBorder="1" applyAlignment="1">
      <alignment horizontal="center"/>
    </xf>
    <xf numFmtId="177" fontId="0" fillId="21" borderId="21" xfId="0" applyNumberFormat="1" applyFont="1" applyFill="1" applyBorder="1" applyAlignment="1">
      <alignment horizontal="center"/>
    </xf>
    <xf numFmtId="177" fontId="4" fillId="0" borderId="0" xfId="0" applyNumberFormat="1" applyFont="1" applyAlignment="1">
      <alignment horizontal="left" wrapText="1"/>
    </xf>
    <xf numFmtId="177" fontId="4" fillId="10" borderId="0" xfId="0" applyNumberFormat="1" applyFont="1" applyFill="1" applyAlignment="1">
      <alignment horizontal="right" wrapText="1"/>
    </xf>
    <xf numFmtId="177" fontId="4" fillId="10" borderId="0" xfId="0" applyNumberFormat="1" applyFont="1" applyFill="1" applyAlignment="1">
      <alignment wrapText="1"/>
    </xf>
    <xf numFmtId="177" fontId="4" fillId="13" borderId="0" xfId="0" applyNumberFormat="1" applyFont="1" applyFill="1" applyAlignment="1">
      <alignment horizontal="right" wrapText="1"/>
    </xf>
    <xf numFmtId="177" fontId="4" fillId="13" borderId="0" xfId="0" applyNumberFormat="1" applyFont="1" applyFill="1" applyAlignment="1">
      <alignment wrapText="1"/>
    </xf>
    <xf numFmtId="177" fontId="4" fillId="22" borderId="0" xfId="0" applyNumberFormat="1" applyFont="1" applyFill="1" applyAlignment="1">
      <alignment horizontal="right" wrapText="1"/>
    </xf>
    <xf numFmtId="177" fontId="4" fillId="22" borderId="0" xfId="0" applyNumberFormat="1" applyFont="1" applyFill="1" applyAlignment="1">
      <alignment wrapText="1"/>
    </xf>
    <xf numFmtId="177" fontId="4" fillId="21" borderId="21" xfId="0" applyNumberFormat="1" applyFont="1" applyFill="1" applyBorder="1" applyAlignment="1">
      <alignment horizontal="center"/>
    </xf>
    <xf numFmtId="177" fontId="0" fillId="0" borderId="16" xfId="2" applyFont="1" applyBorder="1"/>
    <xf numFmtId="177" fontId="4" fillId="0" borderId="0" xfId="0" applyNumberFormat="1" applyFont="1" applyFill="1" applyAlignment="1">
      <alignment horizontal="left" wrapText="1"/>
    </xf>
    <xf numFmtId="177" fontId="4" fillId="0" borderId="0" xfId="0" applyNumberFormat="1" applyFont="1" applyAlignment="1">
      <alignment wrapText="1"/>
    </xf>
    <xf numFmtId="177" fontId="0" fillId="21" borderId="16" xfId="2" applyFill="1" applyBorder="1"/>
    <xf numFmtId="177" fontId="4" fillId="23" borderId="22" xfId="0" applyNumberFormat="1" applyFont="1" applyFill="1" applyBorder="1" applyAlignment="1">
      <alignment horizontal="center" vertical="center" wrapText="1"/>
    </xf>
    <xf numFmtId="177" fontId="4" fillId="23" borderId="1" xfId="0" applyNumberFormat="1" applyFont="1" applyFill="1" applyBorder="1" applyAlignment="1">
      <alignment horizontal="center" vertical="center" wrapText="1"/>
    </xf>
    <xf numFmtId="177" fontId="0" fillId="10" borderId="16" xfId="0" applyNumberFormat="1" applyFont="1" applyFill="1" applyBorder="1"/>
    <xf numFmtId="177" fontId="4" fillId="24" borderId="22" xfId="0" applyNumberFormat="1" applyFont="1" applyFill="1" applyBorder="1" applyAlignment="1">
      <alignment horizontal="center" vertical="center" wrapText="1"/>
    </xf>
    <xf numFmtId="177" fontId="4" fillId="24" borderId="1" xfId="0" applyNumberFormat="1" applyFont="1" applyFill="1" applyBorder="1" applyAlignment="1">
      <alignment horizontal="center" vertical="center" wrapText="1"/>
    </xf>
    <xf numFmtId="177" fontId="4" fillId="25" borderId="22" xfId="0" applyNumberFormat="1" applyFont="1" applyFill="1" applyBorder="1" applyAlignment="1">
      <alignment horizontal="center" vertical="center" wrapText="1"/>
    </xf>
    <xf numFmtId="177" fontId="4" fillId="25" borderId="1" xfId="0" applyNumberFormat="1" applyFont="1" applyFill="1" applyBorder="1" applyAlignment="1">
      <alignment horizontal="center" vertical="center" wrapText="1"/>
    </xf>
    <xf numFmtId="177" fontId="0" fillId="26" borderId="14" xfId="0" applyNumberFormat="1" applyFill="1" applyBorder="1"/>
    <xf numFmtId="177" fontId="0" fillId="26" borderId="15" xfId="0" applyNumberFormat="1" applyFill="1" applyBorder="1"/>
    <xf numFmtId="177" fontId="0" fillId="26" borderId="16" xfId="0" applyNumberFormat="1" applyFill="1" applyBorder="1"/>
    <xf numFmtId="177" fontId="0" fillId="26" borderId="0" xfId="0" applyNumberFormat="1" applyFill="1"/>
    <xf numFmtId="177" fontId="0" fillId="26" borderId="23" xfId="0" applyNumberFormat="1" applyFont="1" applyFill="1" applyBorder="1" applyAlignment="1">
      <alignment horizontal="center"/>
    </xf>
    <xf numFmtId="177" fontId="0" fillId="26" borderId="24" xfId="0" applyNumberFormat="1" applyFont="1" applyFill="1" applyBorder="1" applyAlignment="1">
      <alignment horizontal="center"/>
    </xf>
    <xf numFmtId="177" fontId="4" fillId="27" borderId="12" xfId="0" applyNumberFormat="1" applyFont="1" applyFill="1" applyBorder="1"/>
    <xf numFmtId="177" fontId="4" fillId="16" borderId="12" xfId="0" applyNumberFormat="1" applyFont="1" applyFill="1" applyBorder="1"/>
    <xf numFmtId="177" fontId="4" fillId="18" borderId="12" xfId="0" applyNumberFormat="1" applyFont="1" applyFill="1" applyBorder="1"/>
    <xf numFmtId="177" fontId="4" fillId="14" borderId="12" xfId="0" applyNumberFormat="1" applyFont="1" applyFill="1" applyBorder="1"/>
    <xf numFmtId="177" fontId="4" fillId="28" borderId="12" xfId="0" applyNumberFormat="1" applyFont="1" applyFill="1" applyBorder="1"/>
    <xf numFmtId="177" fontId="4" fillId="29" borderId="10" xfId="0" applyNumberFormat="1" applyFont="1" applyFill="1" applyBorder="1"/>
    <xf numFmtId="0" fontId="4" fillId="0" borderId="10" xfId="0" applyFont="1" applyBorder="1" applyAlignment="1">
      <alignment horizontal="center" wrapText="1"/>
    </xf>
    <xf numFmtId="0" fontId="4" fillId="0" borderId="11" xfId="0" applyFont="1" applyBorder="1" applyAlignment="1">
      <alignment horizontal="center" wrapText="1"/>
    </xf>
    <xf numFmtId="177" fontId="0" fillId="10" borderId="16" xfId="0" applyNumberFormat="1" applyFill="1" applyBorder="1"/>
    <xf numFmtId="0" fontId="4" fillId="0" borderId="0" xfId="0" applyFont="1" applyAlignment="1">
      <alignment horizontal="center" wrapText="1"/>
    </xf>
    <xf numFmtId="177" fontId="0" fillId="0" borderId="15" xfId="0" applyNumberFormat="1" applyBorder="1"/>
    <xf numFmtId="177" fontId="0" fillId="10" borderId="0" xfId="0" applyNumberFormat="1" applyFill="1"/>
    <xf numFmtId="177" fontId="0" fillId="26" borderId="25" xfId="0" applyNumberFormat="1" applyFont="1" applyFill="1" applyBorder="1" applyAlignment="1">
      <alignment horizontal="center"/>
    </xf>
    <xf numFmtId="177" fontId="0" fillId="26" borderId="26" xfId="0" applyNumberFormat="1" applyFont="1" applyFill="1" applyBorder="1" applyAlignment="1">
      <alignment horizontal="center"/>
    </xf>
    <xf numFmtId="177" fontId="0" fillId="30" borderId="0" xfId="0" applyNumberFormat="1" applyFill="1"/>
    <xf numFmtId="177" fontId="0" fillId="0" borderId="27" xfId="0" applyNumberFormat="1" applyFill="1" applyBorder="1"/>
    <xf numFmtId="177" fontId="0" fillId="0" borderId="14" xfId="0" applyNumberFormat="1" applyFill="1" applyBorder="1"/>
    <xf numFmtId="177" fontId="0" fillId="0" borderId="15" xfId="0" applyNumberFormat="1" applyFill="1" applyBorder="1"/>
    <xf numFmtId="177" fontId="0" fillId="0" borderId="16" xfId="0" applyNumberFormat="1" applyFill="1" applyBorder="1"/>
    <xf numFmtId="177" fontId="0" fillId="0" borderId="0" xfId="0" applyNumberFormat="1" applyFill="1"/>
    <xf numFmtId="177" fontId="0" fillId="0" borderId="20" xfId="0" applyNumberFormat="1" applyFont="1" applyFill="1" applyBorder="1" applyAlignment="1">
      <alignment horizontal="center"/>
    </xf>
    <xf numFmtId="177" fontId="0" fillId="0" borderId="21" xfId="0" applyNumberFormat="1" applyFont="1" applyFill="1" applyBorder="1" applyAlignment="1">
      <alignment horizontal="center"/>
    </xf>
    <xf numFmtId="0" fontId="0" fillId="0" borderId="0" xfId="0" applyFill="1"/>
    <xf numFmtId="177" fontId="4" fillId="20" borderId="0" xfId="0" applyNumberFormat="1" applyFont="1" applyFill="1" applyAlignment="1">
      <alignment horizontal="left" wrapText="1"/>
    </xf>
    <xf numFmtId="177" fontId="4" fillId="20" borderId="0" xfId="0" applyNumberFormat="1" applyFont="1" applyFill="1" applyAlignment="1">
      <alignment wrapText="1"/>
    </xf>
    <xf numFmtId="177" fontId="0" fillId="31" borderId="14" xfId="0" applyNumberFormat="1" applyFill="1" applyBorder="1"/>
    <xf numFmtId="177" fontId="0" fillId="31" borderId="15" xfId="0" applyNumberFormat="1" applyFill="1" applyBorder="1"/>
    <xf numFmtId="177" fontId="0" fillId="31" borderId="16" xfId="0" applyNumberFormat="1" applyFill="1" applyBorder="1"/>
    <xf numFmtId="177" fontId="0" fillId="31" borderId="0" xfId="0" applyNumberFormat="1" applyFill="1"/>
    <xf numFmtId="177" fontId="0" fillId="31" borderId="25" xfId="0" applyNumberFormat="1" applyFont="1" applyFill="1" applyBorder="1" applyAlignment="1">
      <alignment horizontal="center"/>
    </xf>
    <xf numFmtId="177" fontId="0" fillId="31" borderId="26" xfId="0" applyNumberFormat="1" applyFont="1" applyFill="1" applyBorder="1" applyAlignment="1">
      <alignment horizontal="center"/>
    </xf>
    <xf numFmtId="0" fontId="0" fillId="31" borderId="0" xfId="0" applyFill="1"/>
    <xf numFmtId="177" fontId="0" fillId="31" borderId="16" xfId="0" applyNumberFormat="1" applyFont="1" applyFill="1" applyBorder="1"/>
    <xf numFmtId="177" fontId="0" fillId="31" borderId="20" xfId="0" applyNumberFormat="1" applyFont="1" applyFill="1" applyBorder="1" applyAlignment="1">
      <alignment horizontal="center"/>
    </xf>
    <xf numFmtId="177" fontId="0" fillId="31" borderId="21" xfId="0" applyNumberFormat="1" applyFont="1" applyFill="1" applyBorder="1" applyAlignment="1">
      <alignment horizontal="center"/>
    </xf>
    <xf numFmtId="177" fontId="0" fillId="21" borderId="20" xfId="0" applyNumberFormat="1" applyFont="1" applyFill="1" applyBorder="1" applyAlignment="1">
      <alignment horizontal="justify"/>
    </xf>
    <xf numFmtId="177" fontId="0" fillId="21" borderId="21" xfId="0" applyNumberFormat="1" applyFont="1" applyFill="1" applyBorder="1" applyAlignment="1">
      <alignment horizontal="justify"/>
    </xf>
    <xf numFmtId="177" fontId="0" fillId="21" borderId="23" xfId="0" applyNumberFormat="1" applyFont="1" applyFill="1" applyBorder="1" applyAlignment="1">
      <alignment horizontal="center"/>
    </xf>
    <xf numFmtId="177" fontId="0" fillId="21" borderId="24" xfId="0" applyNumberFormat="1" applyFont="1" applyFill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"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65B9D7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eetMetadata" Target="metadata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CORTES!#REF!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CORTES!#REF!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CORTES!#REF!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CORTES!#REF!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CORTES!#REF!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CORTES!#REF!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CORTES!#REF!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CORTES!#REF!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CORTES!#REF!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CORTES!#REF!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CORTES!#REF!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01213519"/>
        <c:axId val="701208719"/>
      </c:barChart>
      <c:catAx>
        <c:axId val="70121351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01208719"/>
        <c:crosses val="autoZero"/>
        <c:auto val="1"/>
        <c:lblAlgn val="ctr"/>
        <c:lblOffset val="100"/>
        <c:noMultiLvlLbl val="0"/>
      </c:catAx>
      <c:valAx>
        <c:axId val="701208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01213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d8df23b-1bb1-428c-8849-d01b5ecc3fe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12</xdr:col>
      <xdr:colOff>423393</xdr:colOff>
      <xdr:row>32</xdr:row>
      <xdr:rowOff>182451</xdr:rowOff>
    </xdr:to>
    <xdr:graphicFrame>
      <xdr:nvGraphicFramePr>
        <xdr:cNvPr id="2" name="Gráfico 1"/>
        <xdr:cNvGraphicFramePr>
          <a:graphicFrameLocks noGrp="1"/>
        </xdr:cNvGraphicFramePr>
      </xdr:nvGraphicFramePr>
      <xdr:xfrm>
        <a:off x="0" y="0"/>
        <a:ext cx="8652510" cy="62782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showGridLines="0" showRowColHeaders="0" zoomScale="71" zoomScaleNormal="71" topLeftCell="A13" workbookViewId="0">
      <selection activeCell="A1" sqref="A1"/>
    </sheetView>
  </sheetViews>
  <sheetFormatPr defaultColWidth="10.2857142857143" defaultRowHeight="15"/>
  <sheetData/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B1:FB2521"/>
  <sheetViews>
    <sheetView tabSelected="1" zoomScale="80" zoomScaleNormal="80" topLeftCell="AY627" workbookViewId="0">
      <selection activeCell="BG635" sqref="BG635"/>
    </sheetView>
  </sheetViews>
  <sheetFormatPr defaultColWidth="11" defaultRowHeight="15"/>
  <cols>
    <col min="5" max="5" width="11.7142857142857"/>
    <col min="11" max="11" width="12.0571428571429" customWidth="1"/>
    <col min="12" max="12" width="11.4190476190476" customWidth="1"/>
    <col min="13" max="13" width="11.7142857142857"/>
    <col min="25" max="25" width="13.4285714285714" customWidth="1"/>
    <col min="31" max="31" width="12.7142857142857" customWidth="1"/>
    <col min="36" max="36" width="13.5714285714286" customWidth="1"/>
    <col min="38" max="38" width="13.7142857142857" customWidth="1"/>
    <col min="40" max="40" width="12.8571428571429"/>
    <col min="41" max="41" width="15.7142857142857"/>
    <col min="51" max="51" width="13.5714285714286" customWidth="1"/>
    <col min="52" max="52" width="14" customWidth="1"/>
    <col min="55" max="55" width="15.4285714285714" customWidth="1"/>
    <col min="63" max="64" width="13.7142857142857" customWidth="1"/>
    <col min="71" max="71" width="11.7142857142857"/>
    <col min="83" max="83" width="11.7142857142857"/>
    <col min="90" max="90" width="11.7142857142857"/>
    <col min="97" max="97" width="11.7142857142857"/>
    <col min="105" max="105" width="11.7142857142857"/>
    <col min="107" max="107" width="12.8571428571429"/>
    <col min="108" max="109" width="11.4285714285714"/>
    <col min="112" max="112" width="14.0952380952381" customWidth="1"/>
    <col min="116" max="117" width="12.8571428571429"/>
    <col min="118" max="118" width="11.7142857142857"/>
    <col min="120" max="120" width="12.8571428571429"/>
    <col min="122" max="122" width="11.7142857142857"/>
    <col min="124" max="127" width="11.7142857142857"/>
    <col min="129" max="133" width="11.7142857142857"/>
    <col min="135" max="137" width="11.7142857142857"/>
    <col min="140" max="140" width="11.7142857142857"/>
    <col min="144" max="144" width="11.7142857142857"/>
    <col min="148" max="148" width="11.7142857142857"/>
    <col min="151" max="151" width="11.7142857142857"/>
  </cols>
  <sheetData>
    <row r="1" spans="2:156">
      <c r="B1" s="33" t="s">
        <v>0</v>
      </c>
      <c r="C1" s="34"/>
      <c r="D1" s="34"/>
      <c r="E1" s="34"/>
      <c r="F1" s="34"/>
      <c r="G1" s="34"/>
      <c r="H1" s="34"/>
      <c r="I1" s="34"/>
      <c r="J1" s="34"/>
      <c r="K1" s="34"/>
      <c r="L1" s="35"/>
      <c r="O1" s="33" t="s">
        <v>1</v>
      </c>
      <c r="P1" s="34"/>
      <c r="Q1" s="34"/>
      <c r="R1" s="34"/>
      <c r="S1" s="34"/>
      <c r="T1" s="34"/>
      <c r="U1" s="34"/>
      <c r="V1" s="34"/>
      <c r="W1" s="34"/>
      <c r="X1" s="34"/>
      <c r="Y1" s="35"/>
      <c r="AB1" s="33" t="s">
        <v>2</v>
      </c>
      <c r="AC1" s="34"/>
      <c r="AD1" s="34"/>
      <c r="AE1" s="34"/>
      <c r="AF1" s="34"/>
      <c r="AG1" s="34"/>
      <c r="AH1" s="34"/>
      <c r="AI1" s="34"/>
      <c r="AJ1" s="34"/>
      <c r="AK1" s="34"/>
      <c r="AL1" s="35"/>
      <c r="AO1" s="33" t="s">
        <v>3</v>
      </c>
      <c r="AP1" s="34"/>
      <c r="AQ1" s="34"/>
      <c r="AR1" s="34"/>
      <c r="AS1" s="34"/>
      <c r="AT1" s="34"/>
      <c r="AU1" s="34"/>
      <c r="AV1" s="34"/>
      <c r="AW1" s="34"/>
      <c r="AX1" s="34"/>
      <c r="AY1" s="35"/>
      <c r="BB1" s="33" t="s">
        <v>4</v>
      </c>
      <c r="BC1" s="34"/>
      <c r="BD1" s="34"/>
      <c r="BE1" s="34"/>
      <c r="BF1" s="34"/>
      <c r="BG1" s="34"/>
      <c r="BH1" s="34"/>
      <c r="BI1" s="34"/>
      <c r="BJ1" s="34"/>
      <c r="BK1" s="34"/>
      <c r="BL1" s="35"/>
      <c r="BP1" s="33" t="s">
        <v>5</v>
      </c>
      <c r="BQ1" s="34"/>
      <c r="BR1" s="34"/>
      <c r="BS1" s="34"/>
      <c r="BT1" s="34"/>
      <c r="BU1" s="34"/>
      <c r="BV1" s="34"/>
      <c r="BW1" s="34"/>
      <c r="BX1" s="34"/>
      <c r="BY1" s="34"/>
      <c r="BZ1" s="35"/>
      <c r="CC1" s="33" t="s">
        <v>6</v>
      </c>
      <c r="CD1" s="34"/>
      <c r="CE1" s="34"/>
      <c r="CF1" s="34"/>
      <c r="CG1" s="34"/>
      <c r="CH1" s="34"/>
      <c r="CI1" s="34"/>
      <c r="CJ1" s="34"/>
      <c r="CK1" s="34"/>
      <c r="CL1" s="34"/>
      <c r="CM1" s="35"/>
      <c r="CP1" s="33" t="s">
        <v>7</v>
      </c>
      <c r="CQ1" s="34"/>
      <c r="CR1" s="34"/>
      <c r="CS1" s="34"/>
      <c r="CT1" s="34"/>
      <c r="CU1" s="34"/>
      <c r="CV1" s="34"/>
      <c r="CW1" s="34"/>
      <c r="CX1" s="34"/>
      <c r="CY1" s="34"/>
      <c r="CZ1" s="35"/>
      <c r="DC1" s="33" t="s">
        <v>8</v>
      </c>
      <c r="DD1" s="34"/>
      <c r="DE1" s="34"/>
      <c r="DF1" s="34"/>
      <c r="DG1" s="34"/>
      <c r="DH1" s="34"/>
      <c r="DI1" s="34"/>
      <c r="DJ1" s="34"/>
      <c r="DK1" s="34"/>
      <c r="DL1" s="34"/>
      <c r="DM1" s="35"/>
      <c r="DP1" s="33" t="s">
        <v>9</v>
      </c>
      <c r="DQ1" s="34"/>
      <c r="DR1" s="34"/>
      <c r="DS1" s="34"/>
      <c r="DT1" s="34"/>
      <c r="DU1" s="34"/>
      <c r="DV1" s="34"/>
      <c r="DW1" s="34"/>
      <c r="DX1" s="34"/>
      <c r="DY1" s="34"/>
      <c r="DZ1" s="35"/>
      <c r="EC1" s="33" t="s">
        <v>10</v>
      </c>
      <c r="ED1" s="34"/>
      <c r="EE1" s="34"/>
      <c r="EF1" s="34"/>
      <c r="EG1" s="34"/>
      <c r="EH1" s="34"/>
      <c r="EI1" s="34"/>
      <c r="EJ1" s="34"/>
      <c r="EK1" s="34"/>
      <c r="EL1" s="34"/>
      <c r="EM1" s="35"/>
      <c r="EP1" s="33" t="s">
        <v>11</v>
      </c>
      <c r="EQ1" s="34"/>
      <c r="ER1" s="34"/>
      <c r="ES1" s="34"/>
      <c r="ET1" s="34"/>
      <c r="EU1" s="34"/>
      <c r="EV1" s="34"/>
      <c r="EW1" s="34"/>
      <c r="EX1" s="34"/>
      <c r="EY1" s="34"/>
      <c r="EZ1" s="35"/>
    </row>
    <row r="2" ht="15.75" spans="2:156">
      <c r="B2" s="36"/>
      <c r="C2" s="37"/>
      <c r="D2" s="37"/>
      <c r="E2" s="37"/>
      <c r="F2" s="37"/>
      <c r="G2" s="37"/>
      <c r="H2" s="37"/>
      <c r="I2" s="37"/>
      <c r="J2" s="37"/>
      <c r="K2" s="37"/>
      <c r="L2" s="38"/>
      <c r="O2" s="36"/>
      <c r="P2" s="37"/>
      <c r="Q2" s="37"/>
      <c r="R2" s="37"/>
      <c r="S2" s="37"/>
      <c r="T2" s="37"/>
      <c r="U2" s="37"/>
      <c r="V2" s="37"/>
      <c r="W2" s="37"/>
      <c r="X2" s="37"/>
      <c r="Y2" s="38"/>
      <c r="AB2" s="36"/>
      <c r="AC2" s="37"/>
      <c r="AD2" s="37"/>
      <c r="AE2" s="37"/>
      <c r="AF2" s="37"/>
      <c r="AG2" s="37"/>
      <c r="AH2" s="37"/>
      <c r="AI2" s="37"/>
      <c r="AJ2" s="37"/>
      <c r="AK2" s="37"/>
      <c r="AL2" s="38"/>
      <c r="AO2" s="36"/>
      <c r="AP2" s="37"/>
      <c r="AQ2" s="37"/>
      <c r="AR2" s="37"/>
      <c r="AS2" s="37"/>
      <c r="AT2" s="37"/>
      <c r="AU2" s="37"/>
      <c r="AV2" s="37"/>
      <c r="AW2" s="37"/>
      <c r="AX2" s="37"/>
      <c r="AY2" s="38"/>
      <c r="BB2" s="36"/>
      <c r="BC2" s="37"/>
      <c r="BD2" s="37"/>
      <c r="BE2" s="37"/>
      <c r="BF2" s="37"/>
      <c r="BG2" s="37"/>
      <c r="BH2" s="37"/>
      <c r="BI2" s="37"/>
      <c r="BJ2" s="37"/>
      <c r="BK2" s="37"/>
      <c r="BL2" s="38"/>
      <c r="BP2" s="36"/>
      <c r="BQ2" s="37"/>
      <c r="BR2" s="37"/>
      <c r="BS2" s="37"/>
      <c r="BT2" s="37"/>
      <c r="BU2" s="37"/>
      <c r="BV2" s="37"/>
      <c r="BW2" s="37"/>
      <c r="BX2" s="37"/>
      <c r="BY2" s="37"/>
      <c r="BZ2" s="38"/>
      <c r="CC2" s="36"/>
      <c r="CD2" s="37"/>
      <c r="CE2" s="37"/>
      <c r="CF2" s="37"/>
      <c r="CG2" s="37"/>
      <c r="CH2" s="37"/>
      <c r="CI2" s="37"/>
      <c r="CJ2" s="37"/>
      <c r="CK2" s="37"/>
      <c r="CL2" s="37"/>
      <c r="CM2" s="38"/>
      <c r="CP2" s="36"/>
      <c r="CQ2" s="37"/>
      <c r="CR2" s="37"/>
      <c r="CS2" s="37"/>
      <c r="CT2" s="37"/>
      <c r="CU2" s="37"/>
      <c r="CV2" s="37"/>
      <c r="CW2" s="37"/>
      <c r="CX2" s="37"/>
      <c r="CY2" s="37"/>
      <c r="CZ2" s="38"/>
      <c r="DC2" s="36"/>
      <c r="DD2" s="37"/>
      <c r="DE2" s="37"/>
      <c r="DF2" s="37"/>
      <c r="DG2" s="37"/>
      <c r="DH2" s="37"/>
      <c r="DI2" s="37"/>
      <c r="DJ2" s="37"/>
      <c r="DK2" s="37"/>
      <c r="DL2" s="37"/>
      <c r="DM2" s="38"/>
      <c r="DP2" s="36"/>
      <c r="DQ2" s="37"/>
      <c r="DR2" s="37"/>
      <c r="DS2" s="37"/>
      <c r="DT2" s="37"/>
      <c r="DU2" s="37"/>
      <c r="DV2" s="37"/>
      <c r="DW2" s="37"/>
      <c r="DX2" s="37"/>
      <c r="DY2" s="37"/>
      <c r="DZ2" s="38"/>
      <c r="EC2" s="36"/>
      <c r="ED2" s="37"/>
      <c r="EE2" s="37"/>
      <c r="EF2" s="37"/>
      <c r="EG2" s="37"/>
      <c r="EH2" s="37"/>
      <c r="EI2" s="37"/>
      <c r="EJ2" s="37"/>
      <c r="EK2" s="37"/>
      <c r="EL2" s="37"/>
      <c r="EM2" s="38"/>
      <c r="EP2" s="36"/>
      <c r="EQ2" s="37"/>
      <c r="ER2" s="37"/>
      <c r="ES2" s="37"/>
      <c r="ET2" s="37"/>
      <c r="EU2" s="37"/>
      <c r="EV2" s="37"/>
      <c r="EW2" s="37"/>
      <c r="EX2" s="37"/>
      <c r="EY2" s="37"/>
      <c r="EZ2" s="38"/>
    </row>
    <row r="3" ht="15.75" spans="2:156">
      <c r="B3" s="39" t="s">
        <v>12</v>
      </c>
      <c r="C3" s="40" t="s">
        <v>13</v>
      </c>
      <c r="D3" s="41"/>
      <c r="E3" s="42" t="s">
        <v>14</v>
      </c>
      <c r="F3" s="43"/>
      <c r="G3" s="44" t="s">
        <v>15</v>
      </c>
      <c r="H3" s="45"/>
      <c r="I3" s="46"/>
      <c r="J3" s="47" t="s">
        <v>16</v>
      </c>
      <c r="K3" s="48"/>
      <c r="L3" s="49">
        <f>C48+E48</f>
        <v>21240</v>
      </c>
      <c r="O3" s="39" t="s">
        <v>12</v>
      </c>
      <c r="P3" s="40" t="s">
        <v>13</v>
      </c>
      <c r="Q3" s="41"/>
      <c r="R3" s="42" t="s">
        <v>14</v>
      </c>
      <c r="S3" s="43"/>
      <c r="T3" s="44" t="s">
        <v>15</v>
      </c>
      <c r="U3" s="45"/>
      <c r="V3" s="46"/>
      <c r="W3" s="47" t="s">
        <v>16</v>
      </c>
      <c r="X3" s="48"/>
      <c r="Y3" s="49">
        <f>P41+R41</f>
        <v>11905</v>
      </c>
      <c r="AB3" s="39" t="s">
        <v>12</v>
      </c>
      <c r="AC3" s="40" t="s">
        <v>13</v>
      </c>
      <c r="AD3" s="41"/>
      <c r="AE3" s="42" t="s">
        <v>14</v>
      </c>
      <c r="AF3" s="43"/>
      <c r="AG3" s="44" t="s">
        <v>15</v>
      </c>
      <c r="AH3" s="45"/>
      <c r="AI3" s="46"/>
      <c r="AJ3" s="47" t="s">
        <v>16</v>
      </c>
      <c r="AK3" s="48"/>
      <c r="AL3" s="49">
        <f>AC29+AE29</f>
        <v>6411</v>
      </c>
      <c r="AO3" s="39" t="s">
        <v>12</v>
      </c>
      <c r="AP3" s="40" t="s">
        <v>13</v>
      </c>
      <c r="AQ3" s="41"/>
      <c r="AR3" s="42" t="s">
        <v>14</v>
      </c>
      <c r="AS3" s="43"/>
      <c r="AT3" s="44" t="s">
        <v>15</v>
      </c>
      <c r="AU3" s="45"/>
      <c r="AV3" s="46"/>
      <c r="AW3" s="47" t="s">
        <v>16</v>
      </c>
      <c r="AX3" s="48"/>
      <c r="AY3" s="49">
        <f>AP21+AR21</f>
        <v>4396</v>
      </c>
      <c r="BB3" s="39" t="s">
        <v>12</v>
      </c>
      <c r="BC3" s="40" t="s">
        <v>13</v>
      </c>
      <c r="BD3" s="41"/>
      <c r="BE3" s="42" t="s">
        <v>14</v>
      </c>
      <c r="BF3" s="43"/>
      <c r="BG3" s="44" t="s">
        <v>15</v>
      </c>
      <c r="BH3" s="45"/>
      <c r="BI3" s="46"/>
      <c r="BJ3" s="47" t="s">
        <v>16</v>
      </c>
      <c r="BK3" s="48"/>
      <c r="BL3" s="49">
        <f>BC21+BE21</f>
        <v>6137</v>
      </c>
      <c r="BP3" s="39" t="s">
        <v>12</v>
      </c>
      <c r="BQ3" s="40" t="s">
        <v>13</v>
      </c>
      <c r="BR3" s="41"/>
      <c r="BS3" s="42" t="s">
        <v>14</v>
      </c>
      <c r="BT3" s="43"/>
      <c r="BU3" s="44" t="s">
        <v>15</v>
      </c>
      <c r="BV3" s="45"/>
      <c r="BW3" s="46"/>
      <c r="BX3" s="47" t="s">
        <v>16</v>
      </c>
      <c r="BY3" s="48"/>
      <c r="BZ3" s="49">
        <f>BQ42+BS42</f>
        <v>0</v>
      </c>
      <c r="CC3" s="39" t="s">
        <v>12</v>
      </c>
      <c r="CD3" s="40" t="s">
        <v>13</v>
      </c>
      <c r="CE3" s="41"/>
      <c r="CF3" s="42" t="s">
        <v>14</v>
      </c>
      <c r="CG3" s="43"/>
      <c r="CH3" s="44" t="s">
        <v>15</v>
      </c>
      <c r="CI3" s="45"/>
      <c r="CJ3" s="46"/>
      <c r="CK3" s="47" t="s">
        <v>16</v>
      </c>
      <c r="CL3" s="48"/>
      <c r="CM3" s="49">
        <f>CD42+CF42</f>
        <v>0</v>
      </c>
      <c r="CP3" s="39" t="s">
        <v>12</v>
      </c>
      <c r="CQ3" s="40" t="s">
        <v>13</v>
      </c>
      <c r="CR3" s="41"/>
      <c r="CS3" s="42" t="s">
        <v>14</v>
      </c>
      <c r="CT3" s="43"/>
      <c r="CU3" s="44" t="s">
        <v>15</v>
      </c>
      <c r="CV3" s="45"/>
      <c r="CW3" s="46"/>
      <c r="CX3" s="47" t="s">
        <v>16</v>
      </c>
      <c r="CY3" s="48"/>
      <c r="CZ3" s="49">
        <f>CQ42+CS42</f>
        <v>0</v>
      </c>
      <c r="DC3" s="39" t="s">
        <v>12</v>
      </c>
      <c r="DD3" s="40" t="s">
        <v>13</v>
      </c>
      <c r="DE3" s="41"/>
      <c r="DF3" s="42" t="s">
        <v>14</v>
      </c>
      <c r="DG3" s="43"/>
      <c r="DH3" s="44" t="s">
        <v>15</v>
      </c>
      <c r="DI3" s="45"/>
      <c r="DJ3" s="46"/>
      <c r="DK3" s="47" t="s">
        <v>16</v>
      </c>
      <c r="DL3" s="48"/>
      <c r="DM3" s="49">
        <f>DD42+DF42</f>
        <v>0</v>
      </c>
      <c r="DP3" s="39" t="s">
        <v>12</v>
      </c>
      <c r="DQ3" s="40" t="s">
        <v>13</v>
      </c>
      <c r="DR3" s="41"/>
      <c r="DS3" s="42" t="s">
        <v>14</v>
      </c>
      <c r="DT3" s="43"/>
      <c r="DU3" s="44" t="s">
        <v>15</v>
      </c>
      <c r="DV3" s="45"/>
      <c r="DW3" s="46"/>
      <c r="DX3" s="47" t="s">
        <v>16</v>
      </c>
      <c r="DY3" s="48"/>
      <c r="DZ3" s="49">
        <f>DQ42+DS42</f>
        <v>0</v>
      </c>
      <c r="EC3" s="39" t="s">
        <v>12</v>
      </c>
      <c r="ED3" s="40" t="s">
        <v>13</v>
      </c>
      <c r="EE3" s="41"/>
      <c r="EF3" s="42" t="s">
        <v>14</v>
      </c>
      <c r="EG3" s="43"/>
      <c r="EH3" s="44" t="s">
        <v>15</v>
      </c>
      <c r="EI3" s="45"/>
      <c r="EJ3" s="46"/>
      <c r="EK3" s="47" t="s">
        <v>16</v>
      </c>
      <c r="EL3" s="48"/>
      <c r="EM3" s="49">
        <f>ED42+EF42</f>
        <v>0</v>
      </c>
      <c r="EP3" s="39" t="s">
        <v>12</v>
      </c>
      <c r="EQ3" s="40" t="s">
        <v>13</v>
      </c>
      <c r="ER3" s="41"/>
      <c r="ES3" s="42" t="s">
        <v>14</v>
      </c>
      <c r="ET3" s="43"/>
      <c r="EU3" s="44" t="s">
        <v>15</v>
      </c>
      <c r="EV3" s="45"/>
      <c r="EW3" s="46"/>
      <c r="EX3" s="47" t="s">
        <v>16</v>
      </c>
      <c r="EY3" s="48"/>
      <c r="EZ3" s="49">
        <f>EQ42+ES42</f>
        <v>0</v>
      </c>
    </row>
    <row r="4" ht="15.75" spans="2:156">
      <c r="B4" s="50"/>
      <c r="C4" s="51" t="s">
        <v>17</v>
      </c>
      <c r="D4" s="51" t="s">
        <v>18</v>
      </c>
      <c r="E4" s="52" t="s">
        <v>17</v>
      </c>
      <c r="F4" s="52" t="s">
        <v>18</v>
      </c>
      <c r="G4" s="53"/>
      <c r="H4" s="54"/>
      <c r="I4" s="55"/>
      <c r="J4" s="56" t="s">
        <v>19</v>
      </c>
      <c r="K4" s="57"/>
      <c r="L4" s="49">
        <f>D48+F48</f>
        <v>1873.35</v>
      </c>
      <c r="O4" s="50"/>
      <c r="P4" s="51" t="s">
        <v>17</v>
      </c>
      <c r="Q4" s="51" t="s">
        <v>18</v>
      </c>
      <c r="R4" s="52" t="s">
        <v>17</v>
      </c>
      <c r="S4" s="52" t="s">
        <v>18</v>
      </c>
      <c r="T4" s="53"/>
      <c r="U4" s="54"/>
      <c r="V4" s="55"/>
      <c r="W4" s="56" t="s">
        <v>19</v>
      </c>
      <c r="X4" s="57"/>
      <c r="Y4" s="49">
        <f>Q41+S41</f>
        <v>1209.5</v>
      </c>
      <c r="Z4" s="58"/>
      <c r="AB4" s="50"/>
      <c r="AC4" s="51" t="s">
        <v>17</v>
      </c>
      <c r="AD4" s="51" t="s">
        <v>18</v>
      </c>
      <c r="AE4" s="52" t="s">
        <v>17</v>
      </c>
      <c r="AF4" s="52" t="s">
        <v>18</v>
      </c>
      <c r="AG4" s="53"/>
      <c r="AH4" s="54"/>
      <c r="AI4" s="55"/>
      <c r="AJ4" s="56" t="s">
        <v>19</v>
      </c>
      <c r="AK4" s="57"/>
      <c r="AL4" s="49">
        <f>AD29+AF29</f>
        <v>674.95</v>
      </c>
      <c r="AO4" s="50"/>
      <c r="AP4" s="51" t="s">
        <v>17</v>
      </c>
      <c r="AQ4" s="51" t="s">
        <v>18</v>
      </c>
      <c r="AR4" s="52" t="s">
        <v>17</v>
      </c>
      <c r="AS4" s="52" t="s">
        <v>18</v>
      </c>
      <c r="AT4" s="53"/>
      <c r="AU4" s="54"/>
      <c r="AV4" s="55"/>
      <c r="AW4" s="56" t="s">
        <v>19</v>
      </c>
      <c r="AX4" s="57"/>
      <c r="AY4" s="49">
        <f>AQ21+AS21</f>
        <v>508.5</v>
      </c>
      <c r="BB4" s="50"/>
      <c r="BC4" s="51" t="s">
        <v>17</v>
      </c>
      <c r="BD4" s="51" t="s">
        <v>18</v>
      </c>
      <c r="BE4" s="52" t="s">
        <v>17</v>
      </c>
      <c r="BF4" s="52" t="s">
        <v>18</v>
      </c>
      <c r="BG4" s="53"/>
      <c r="BH4" s="54"/>
      <c r="BI4" s="55"/>
      <c r="BJ4" s="56" t="s">
        <v>19</v>
      </c>
      <c r="BK4" s="57"/>
      <c r="BL4" s="49">
        <f>BD21+BF21</f>
        <v>534.6</v>
      </c>
      <c r="BP4" s="50"/>
      <c r="BQ4" s="51" t="s">
        <v>17</v>
      </c>
      <c r="BR4" s="51" t="s">
        <v>18</v>
      </c>
      <c r="BS4" s="52" t="s">
        <v>17</v>
      </c>
      <c r="BT4" s="52" t="s">
        <v>18</v>
      </c>
      <c r="BU4" s="53"/>
      <c r="BV4" s="54"/>
      <c r="BW4" s="55"/>
      <c r="BX4" s="56" t="s">
        <v>19</v>
      </c>
      <c r="BY4" s="57"/>
      <c r="BZ4" s="49">
        <f>BR42+BT42</f>
        <v>0</v>
      </c>
      <c r="CC4" s="50"/>
      <c r="CD4" s="51" t="s">
        <v>17</v>
      </c>
      <c r="CE4" s="51" t="s">
        <v>18</v>
      </c>
      <c r="CF4" s="52" t="s">
        <v>17</v>
      </c>
      <c r="CG4" s="52" t="s">
        <v>18</v>
      </c>
      <c r="CH4" s="53"/>
      <c r="CI4" s="54"/>
      <c r="CJ4" s="55"/>
      <c r="CK4" s="56" t="s">
        <v>19</v>
      </c>
      <c r="CL4" s="57"/>
      <c r="CM4" s="49">
        <f>CE42+CG42</f>
        <v>0</v>
      </c>
      <c r="CP4" s="50"/>
      <c r="CQ4" s="51" t="s">
        <v>17</v>
      </c>
      <c r="CR4" s="51" t="s">
        <v>18</v>
      </c>
      <c r="CS4" s="52" t="s">
        <v>17</v>
      </c>
      <c r="CT4" s="52" t="s">
        <v>18</v>
      </c>
      <c r="CU4" s="53"/>
      <c r="CV4" s="54"/>
      <c r="CW4" s="55"/>
      <c r="CX4" s="56" t="s">
        <v>19</v>
      </c>
      <c r="CY4" s="57"/>
      <c r="CZ4" s="49">
        <f>CR42+CT42</f>
        <v>0</v>
      </c>
      <c r="DC4" s="50"/>
      <c r="DD4" s="51" t="s">
        <v>17</v>
      </c>
      <c r="DE4" s="51" t="s">
        <v>18</v>
      </c>
      <c r="DF4" s="52" t="s">
        <v>17</v>
      </c>
      <c r="DG4" s="52" t="s">
        <v>18</v>
      </c>
      <c r="DH4" s="53"/>
      <c r="DI4" s="54"/>
      <c r="DJ4" s="55"/>
      <c r="DK4" s="56" t="s">
        <v>19</v>
      </c>
      <c r="DL4" s="57"/>
      <c r="DM4" s="49">
        <f>DE42+DG42</f>
        <v>0</v>
      </c>
      <c r="DP4" s="50"/>
      <c r="DQ4" s="51" t="s">
        <v>17</v>
      </c>
      <c r="DR4" s="51" t="s">
        <v>18</v>
      </c>
      <c r="DS4" s="52" t="s">
        <v>17</v>
      </c>
      <c r="DT4" s="52" t="s">
        <v>18</v>
      </c>
      <c r="DU4" s="53"/>
      <c r="DV4" s="54"/>
      <c r="DW4" s="55"/>
      <c r="DX4" s="56" t="s">
        <v>19</v>
      </c>
      <c r="DY4" s="57"/>
      <c r="DZ4" s="49">
        <f>DR42+DT42</f>
        <v>0</v>
      </c>
      <c r="EC4" s="50"/>
      <c r="ED4" s="51" t="s">
        <v>17</v>
      </c>
      <c r="EE4" s="51" t="s">
        <v>18</v>
      </c>
      <c r="EF4" s="52" t="s">
        <v>17</v>
      </c>
      <c r="EG4" s="52" t="s">
        <v>18</v>
      </c>
      <c r="EH4" s="53"/>
      <c r="EI4" s="54"/>
      <c r="EJ4" s="55"/>
      <c r="EK4" s="56" t="s">
        <v>19</v>
      </c>
      <c r="EL4" s="57"/>
      <c r="EM4" s="49">
        <f>EE42+EG42</f>
        <v>0</v>
      </c>
      <c r="EP4" s="50"/>
      <c r="EQ4" s="51" t="s">
        <v>17</v>
      </c>
      <c r="ER4" s="51" t="s">
        <v>18</v>
      </c>
      <c r="ES4" s="52" t="s">
        <v>17</v>
      </c>
      <c r="ET4" s="52" t="s">
        <v>18</v>
      </c>
      <c r="EU4" s="53"/>
      <c r="EV4" s="54"/>
      <c r="EW4" s="55"/>
      <c r="EX4" s="56" t="s">
        <v>19</v>
      </c>
      <c r="EY4" s="57"/>
      <c r="EZ4" s="49">
        <f>ER42+ET42</f>
        <v>0</v>
      </c>
    </row>
    <row r="5" ht="15.75" spans="2:156">
      <c r="B5" s="59">
        <v>1406</v>
      </c>
      <c r="C5" s="60">
        <v>720</v>
      </c>
      <c r="D5" s="61">
        <v>20</v>
      </c>
      <c r="E5" s="62"/>
      <c r="F5" s="61"/>
      <c r="G5" s="61">
        <v>60</v>
      </c>
      <c r="H5" s="63" t="s">
        <v>20</v>
      </c>
      <c r="I5" s="64"/>
      <c r="J5" s="65" t="s">
        <v>21</v>
      </c>
      <c r="K5" s="66"/>
      <c r="L5" s="67">
        <f>G48</f>
        <v>11298</v>
      </c>
      <c r="O5" s="59">
        <v>3897</v>
      </c>
      <c r="P5" s="60"/>
      <c r="Q5" s="61"/>
      <c r="R5" s="62">
        <v>98</v>
      </c>
      <c r="S5" s="61">
        <v>9.8</v>
      </c>
      <c r="T5" s="61">
        <v>140</v>
      </c>
      <c r="U5" s="63" t="s">
        <v>22</v>
      </c>
      <c r="V5" s="64"/>
      <c r="W5" s="65" t="s">
        <v>21</v>
      </c>
      <c r="X5" s="66"/>
      <c r="Y5" s="67">
        <f>T41</f>
        <v>5403</v>
      </c>
      <c r="AB5" s="59">
        <v>4061</v>
      </c>
      <c r="AC5" s="60">
        <v>258</v>
      </c>
      <c r="AD5" s="61">
        <v>50</v>
      </c>
      <c r="AE5" s="62"/>
      <c r="AF5" s="61"/>
      <c r="AG5" s="61">
        <v>46</v>
      </c>
      <c r="AH5" s="63" t="s">
        <v>23</v>
      </c>
      <c r="AI5" s="64"/>
      <c r="AJ5" s="65" t="s">
        <v>21</v>
      </c>
      <c r="AK5" s="66"/>
      <c r="AL5" s="67">
        <f>AG29</f>
        <v>5606.5</v>
      </c>
      <c r="AO5" s="59">
        <v>818</v>
      </c>
      <c r="AP5" s="68">
        <v>25</v>
      </c>
      <c r="AQ5" s="61"/>
      <c r="AR5" s="62"/>
      <c r="AS5" s="61"/>
      <c r="AT5" s="61">
        <v>183</v>
      </c>
      <c r="AU5" s="63" t="s">
        <v>22</v>
      </c>
      <c r="AV5" s="64"/>
      <c r="AW5" s="65" t="s">
        <v>21</v>
      </c>
      <c r="AX5" s="66"/>
      <c r="AY5" s="67">
        <f>AT21</f>
        <v>213</v>
      </c>
      <c r="BB5" s="59">
        <v>759</v>
      </c>
      <c r="BC5" s="68"/>
      <c r="BD5" s="61"/>
      <c r="BE5" s="62">
        <v>1375</v>
      </c>
      <c r="BF5" s="61">
        <v>137.5</v>
      </c>
      <c r="BG5" s="61">
        <v>50</v>
      </c>
      <c r="BH5" s="63" t="s">
        <v>24</v>
      </c>
      <c r="BI5" s="64"/>
      <c r="BJ5" s="65" t="s">
        <v>21</v>
      </c>
      <c r="BK5" s="66"/>
      <c r="BL5" s="67">
        <f>BG21</f>
        <v>1549</v>
      </c>
      <c r="BP5" s="59"/>
      <c r="BQ5" s="60"/>
      <c r="BR5" s="61"/>
      <c r="BS5" s="62"/>
      <c r="BT5" s="61"/>
      <c r="BU5" s="61"/>
      <c r="BV5" s="63"/>
      <c r="BW5" s="64"/>
      <c r="BX5" s="65" t="s">
        <v>21</v>
      </c>
      <c r="BY5" s="66"/>
      <c r="BZ5" s="67">
        <f>BU42</f>
        <v>0</v>
      </c>
      <c r="CC5" s="59"/>
      <c r="CD5" s="60"/>
      <c r="CE5" s="61"/>
      <c r="CF5" s="62"/>
      <c r="CG5" s="61"/>
      <c r="CH5" s="61"/>
      <c r="CI5" s="63"/>
      <c r="CJ5" s="64"/>
      <c r="CK5" s="65" t="s">
        <v>21</v>
      </c>
      <c r="CL5" s="66"/>
      <c r="CM5" s="67">
        <f>CH42</f>
        <v>0</v>
      </c>
      <c r="CP5" s="59"/>
      <c r="CQ5" s="60"/>
      <c r="CR5" s="61"/>
      <c r="CS5" s="62"/>
      <c r="CT5" s="61"/>
      <c r="CU5" s="61"/>
      <c r="CV5" s="63"/>
      <c r="CW5" s="64"/>
      <c r="CX5" s="65" t="s">
        <v>21</v>
      </c>
      <c r="CY5" s="66"/>
      <c r="CZ5" s="67">
        <f>CU42</f>
        <v>0</v>
      </c>
      <c r="DC5" s="59"/>
      <c r="DD5" s="60"/>
      <c r="DE5" s="61"/>
      <c r="DF5" s="62"/>
      <c r="DG5" s="61"/>
      <c r="DH5" s="61"/>
      <c r="DI5" s="63"/>
      <c r="DJ5" s="64"/>
      <c r="DK5" s="65" t="s">
        <v>21</v>
      </c>
      <c r="DL5" s="66"/>
      <c r="DM5" s="67">
        <f>DH42</f>
        <v>0</v>
      </c>
      <c r="DP5" s="59"/>
      <c r="DQ5" s="60"/>
      <c r="DR5" s="61"/>
      <c r="DS5" s="62"/>
      <c r="DT5" s="61"/>
      <c r="DU5" s="61"/>
      <c r="DV5" s="63"/>
      <c r="DW5" s="64"/>
      <c r="DX5" s="65" t="s">
        <v>21</v>
      </c>
      <c r="DY5" s="66"/>
      <c r="DZ5" s="67">
        <f>DU42</f>
        <v>0</v>
      </c>
      <c r="EC5" s="59"/>
      <c r="ED5" s="60"/>
      <c r="EE5" s="61"/>
      <c r="EF5" s="62"/>
      <c r="EG5" s="61"/>
      <c r="EH5" s="61"/>
      <c r="EI5" s="63"/>
      <c r="EJ5" s="64"/>
      <c r="EK5" s="65" t="s">
        <v>21</v>
      </c>
      <c r="EL5" s="66"/>
      <c r="EM5" s="67">
        <f>EH42</f>
        <v>0</v>
      </c>
      <c r="EP5" s="59"/>
      <c r="EQ5" s="60"/>
      <c r="ER5" s="61"/>
      <c r="ES5" s="62"/>
      <c r="ET5" s="61"/>
      <c r="EU5" s="61"/>
      <c r="EV5" s="63"/>
      <c r="EW5" s="64"/>
      <c r="EX5" s="65" t="s">
        <v>21</v>
      </c>
      <c r="EY5" s="66"/>
      <c r="EZ5" s="67">
        <f>EU42</f>
        <v>0</v>
      </c>
    </row>
    <row r="6" ht="15.75" spans="2:156">
      <c r="B6" s="69"/>
      <c r="C6" s="70">
        <v>10</v>
      </c>
      <c r="D6" s="71"/>
      <c r="E6" s="70"/>
      <c r="F6" s="70"/>
      <c r="G6" s="70">
        <v>390</v>
      </c>
      <c r="H6" s="72" t="s">
        <v>25</v>
      </c>
      <c r="I6" s="73"/>
      <c r="J6" s="74" t="s">
        <v>26</v>
      </c>
      <c r="K6" s="57"/>
      <c r="L6" s="49">
        <f>B48+L3+L4-L5-E48-F48</f>
        <v>-209.000000000002</v>
      </c>
      <c r="O6" s="69"/>
      <c r="P6" s="70"/>
      <c r="Q6" s="71"/>
      <c r="R6" s="70">
        <v>583</v>
      </c>
      <c r="S6" s="70">
        <v>58.3</v>
      </c>
      <c r="T6" s="70">
        <v>2778</v>
      </c>
      <c r="U6" s="72" t="s">
        <v>27</v>
      </c>
      <c r="V6" s="73"/>
      <c r="W6" s="74" t="s">
        <v>26</v>
      </c>
      <c r="X6" s="57"/>
      <c r="Y6" s="49">
        <f>O41+Y3+Y4-Y5-R41-S41</f>
        <v>3111</v>
      </c>
      <c r="AB6" s="69"/>
      <c r="AC6" s="70"/>
      <c r="AD6" s="71"/>
      <c r="AE6" s="70">
        <v>170</v>
      </c>
      <c r="AF6" s="70">
        <v>17</v>
      </c>
      <c r="AG6" s="70">
        <v>294.5</v>
      </c>
      <c r="AH6" s="72" t="s">
        <v>28</v>
      </c>
      <c r="AI6" s="73"/>
      <c r="AJ6" s="74" t="s">
        <v>26</v>
      </c>
      <c r="AK6" s="57"/>
      <c r="AL6" s="49">
        <f>AB29+AL3+AL4-AL5-AE29-AF29</f>
        <v>402.500000000001</v>
      </c>
      <c r="AO6" s="69"/>
      <c r="AP6" s="70"/>
      <c r="AQ6" s="71"/>
      <c r="AR6" s="70">
        <v>949</v>
      </c>
      <c r="AS6" s="70">
        <v>94.9</v>
      </c>
      <c r="AT6" s="70">
        <v>30</v>
      </c>
      <c r="AU6" s="72" t="s">
        <v>29</v>
      </c>
      <c r="AV6" s="73"/>
      <c r="AW6" s="74" t="s">
        <v>26</v>
      </c>
      <c r="AX6" s="57"/>
      <c r="AY6" s="49">
        <f>AO21+AY3+AY4-AY5-AR21-AS21</f>
        <v>1761</v>
      </c>
      <c r="BB6" s="69"/>
      <c r="BC6" s="70">
        <v>45</v>
      </c>
      <c r="BD6" s="71"/>
      <c r="BE6" s="70"/>
      <c r="BF6" s="70"/>
      <c r="BG6" s="70">
        <v>60</v>
      </c>
      <c r="BH6" s="72" t="s">
        <v>29</v>
      </c>
      <c r="BI6" s="73"/>
      <c r="BJ6" s="74" t="s">
        <v>26</v>
      </c>
      <c r="BK6" s="57"/>
      <c r="BL6" s="49">
        <f>BB21+BL3+BL4-BL5-BE21-BF21</f>
        <v>1272</v>
      </c>
      <c r="BP6" s="69"/>
      <c r="BQ6" s="70"/>
      <c r="BR6" s="71"/>
      <c r="BS6" s="70"/>
      <c r="BT6" s="70"/>
      <c r="BU6" s="70"/>
      <c r="BV6" s="72"/>
      <c r="BW6" s="73"/>
      <c r="BX6" s="74" t="s">
        <v>26</v>
      </c>
      <c r="BY6" s="57"/>
      <c r="BZ6" s="49">
        <f>BP42+BZ3+BZ4-BZ5-BS42-BT42</f>
        <v>0</v>
      </c>
      <c r="CC6" s="69"/>
      <c r="CD6" s="70"/>
      <c r="CE6" s="71"/>
      <c r="CF6" s="70"/>
      <c r="CG6" s="70"/>
      <c r="CH6" s="70"/>
      <c r="CI6" s="72"/>
      <c r="CJ6" s="73"/>
      <c r="CK6" s="74" t="s">
        <v>26</v>
      </c>
      <c r="CL6" s="57"/>
      <c r="CM6" s="49">
        <f>CC42+CM3+CM4-CM5-CF42-CG42</f>
        <v>0</v>
      </c>
      <c r="CP6" s="69"/>
      <c r="CQ6" s="70"/>
      <c r="CR6" s="71"/>
      <c r="CS6" s="70"/>
      <c r="CT6" s="70"/>
      <c r="CU6" s="70"/>
      <c r="CV6" s="72"/>
      <c r="CW6" s="73"/>
      <c r="CX6" s="74" t="s">
        <v>26</v>
      </c>
      <c r="CY6" s="57"/>
      <c r="CZ6" s="49">
        <f>CP42+CZ3+CZ4-CZ5-CS42-CT42</f>
        <v>0</v>
      </c>
      <c r="DC6" s="69"/>
      <c r="DD6" s="70"/>
      <c r="DE6" s="71"/>
      <c r="DF6" s="70"/>
      <c r="DG6" s="70"/>
      <c r="DH6" s="70"/>
      <c r="DI6" s="72"/>
      <c r="DJ6" s="73"/>
      <c r="DK6" s="74" t="s">
        <v>26</v>
      </c>
      <c r="DL6" s="57"/>
      <c r="DM6" s="49">
        <f>DC42+DM3+DM4-DM5-DF42-DG42</f>
        <v>0</v>
      </c>
      <c r="DP6" s="69"/>
      <c r="DQ6" s="70"/>
      <c r="DR6" s="71"/>
      <c r="DS6" s="70"/>
      <c r="DT6" s="70"/>
      <c r="DU6" s="70"/>
      <c r="DV6" s="72"/>
      <c r="DW6" s="73"/>
      <c r="DX6" s="74" t="s">
        <v>26</v>
      </c>
      <c r="DY6" s="57"/>
      <c r="DZ6" s="49">
        <f>DP42+DZ3+DZ4-DZ5-DS42-DT42</f>
        <v>0</v>
      </c>
      <c r="EC6" s="69"/>
      <c r="ED6" s="70"/>
      <c r="EE6" s="71"/>
      <c r="EF6" s="70"/>
      <c r="EG6" s="70"/>
      <c r="EH6" s="70"/>
      <c r="EI6" s="72"/>
      <c r="EJ6" s="73"/>
      <c r="EK6" s="74" t="s">
        <v>26</v>
      </c>
      <c r="EL6" s="57"/>
      <c r="EM6" s="49">
        <f>EC42+EM3+EM4-EM5-EF42-EG42</f>
        <v>0</v>
      </c>
      <c r="EP6" s="69"/>
      <c r="EQ6" s="70"/>
      <c r="ER6" s="71"/>
      <c r="ES6" s="70"/>
      <c r="ET6" s="70"/>
      <c r="EU6" s="70"/>
      <c r="EV6" s="72"/>
      <c r="EW6" s="73"/>
      <c r="EX6" s="74" t="s">
        <v>26</v>
      </c>
      <c r="EY6" s="57"/>
      <c r="EZ6" s="49">
        <f>EP42+EZ3+EZ4-EZ5-ES42-ET42</f>
        <v>0</v>
      </c>
    </row>
    <row r="7" spans="2:156">
      <c r="B7" s="59"/>
      <c r="C7" s="60">
        <v>529</v>
      </c>
      <c r="D7" s="61">
        <v>71</v>
      </c>
      <c r="E7" s="62"/>
      <c r="F7" s="61"/>
      <c r="G7" s="61">
        <v>550</v>
      </c>
      <c r="H7" s="75" t="s">
        <v>22</v>
      </c>
      <c r="I7" s="76"/>
      <c r="J7" s="77"/>
      <c r="K7" s="78" t="s">
        <v>30</v>
      </c>
      <c r="L7" s="79">
        <f>L4/4</f>
        <v>468.3375</v>
      </c>
      <c r="O7" s="59"/>
      <c r="P7" s="60">
        <v>108</v>
      </c>
      <c r="Q7" s="61">
        <v>12</v>
      </c>
      <c r="R7" s="62"/>
      <c r="S7" s="61"/>
      <c r="T7" s="61">
        <v>2485</v>
      </c>
      <c r="U7" s="75" t="s">
        <v>31</v>
      </c>
      <c r="V7" s="76"/>
      <c r="W7" s="77"/>
      <c r="X7" s="78" t="s">
        <v>30</v>
      </c>
      <c r="Y7" s="79">
        <f>Y4/4</f>
        <v>302.375</v>
      </c>
      <c r="AB7" s="59"/>
      <c r="AC7" s="60"/>
      <c r="AD7" s="61"/>
      <c r="AE7" s="62">
        <v>609</v>
      </c>
      <c r="AF7" s="61">
        <v>91.35</v>
      </c>
      <c r="AG7" s="61">
        <v>72</v>
      </c>
      <c r="AH7" s="75" t="s">
        <v>28</v>
      </c>
      <c r="AI7" s="76"/>
      <c r="AJ7" s="77"/>
      <c r="AK7" s="78" t="s">
        <v>30</v>
      </c>
      <c r="AL7" s="79">
        <f>AL4/4</f>
        <v>168.7375</v>
      </c>
      <c r="AO7" s="59"/>
      <c r="AP7" s="60">
        <v>481</v>
      </c>
      <c r="AQ7" s="61">
        <v>80</v>
      </c>
      <c r="AR7" s="62"/>
      <c r="AS7" s="61"/>
      <c r="AT7" s="61"/>
      <c r="AU7" s="75"/>
      <c r="AV7" s="76"/>
      <c r="AW7" s="77"/>
      <c r="AX7" s="78" t="s">
        <v>30</v>
      </c>
      <c r="AY7" s="79">
        <f>AY4/4</f>
        <v>127.125</v>
      </c>
      <c r="BB7" s="59"/>
      <c r="BC7" s="60">
        <v>322</v>
      </c>
      <c r="BD7" s="61">
        <v>28</v>
      </c>
      <c r="BE7" s="62"/>
      <c r="BF7" s="61"/>
      <c r="BG7" s="61">
        <v>23</v>
      </c>
      <c r="BH7" s="75" t="s">
        <v>32</v>
      </c>
      <c r="BI7" s="76"/>
      <c r="BJ7" s="77"/>
      <c r="BK7" s="78" t="s">
        <v>30</v>
      </c>
      <c r="BL7" s="79">
        <f>BL4/4</f>
        <v>133.65</v>
      </c>
      <c r="BP7" s="59"/>
      <c r="BQ7" s="60"/>
      <c r="BR7" s="61"/>
      <c r="BS7" s="62"/>
      <c r="BT7" s="61"/>
      <c r="BU7" s="61"/>
      <c r="BV7" s="75"/>
      <c r="BW7" s="76"/>
      <c r="BX7" s="77"/>
      <c r="BY7" s="78" t="s">
        <v>30</v>
      </c>
      <c r="BZ7" s="79">
        <f>BZ4/4</f>
        <v>0</v>
      </c>
      <c r="CC7" s="59"/>
      <c r="CD7" s="60"/>
      <c r="CE7" s="61"/>
      <c r="CF7" s="62"/>
      <c r="CG7" s="61"/>
      <c r="CH7" s="61"/>
      <c r="CI7" s="75"/>
      <c r="CJ7" s="76"/>
      <c r="CK7" s="77"/>
      <c r="CL7" s="78" t="s">
        <v>30</v>
      </c>
      <c r="CM7" s="79">
        <f>CM4/4</f>
        <v>0</v>
      </c>
      <c r="CP7" s="59"/>
      <c r="CQ7" s="60"/>
      <c r="CR7" s="61"/>
      <c r="CS7" s="62"/>
      <c r="CT7" s="61"/>
      <c r="CU7" s="61"/>
      <c r="CV7" s="75"/>
      <c r="CW7" s="76"/>
      <c r="CX7" s="77"/>
      <c r="CY7" s="78" t="s">
        <v>30</v>
      </c>
      <c r="CZ7" s="79">
        <f>CZ4/4</f>
        <v>0</v>
      </c>
      <c r="DC7" s="59"/>
      <c r="DD7" s="60"/>
      <c r="DE7" s="61"/>
      <c r="DF7" s="62"/>
      <c r="DG7" s="61"/>
      <c r="DH7" s="61"/>
      <c r="DI7" s="75"/>
      <c r="DJ7" s="76"/>
      <c r="DK7" s="77"/>
      <c r="DL7" s="78" t="s">
        <v>30</v>
      </c>
      <c r="DM7" s="79">
        <f>DM4/4</f>
        <v>0</v>
      </c>
      <c r="DP7" s="59"/>
      <c r="DQ7" s="60"/>
      <c r="DR7" s="61"/>
      <c r="DS7" s="62"/>
      <c r="DT7" s="61"/>
      <c r="DU7" s="61"/>
      <c r="DV7" s="75"/>
      <c r="DW7" s="76"/>
      <c r="DX7" s="77"/>
      <c r="DY7" s="78" t="s">
        <v>30</v>
      </c>
      <c r="DZ7" s="79">
        <f>DZ4/4</f>
        <v>0</v>
      </c>
      <c r="EC7" s="59"/>
      <c r="ED7" s="60"/>
      <c r="EE7" s="61"/>
      <c r="EF7" s="62"/>
      <c r="EG7" s="61"/>
      <c r="EH7" s="61"/>
      <c r="EI7" s="75"/>
      <c r="EJ7" s="76"/>
      <c r="EK7" s="77"/>
      <c r="EL7" s="78" t="s">
        <v>30</v>
      </c>
      <c r="EM7" s="79">
        <f>EM4/4</f>
        <v>0</v>
      </c>
      <c r="EP7" s="59"/>
      <c r="EQ7" s="60"/>
      <c r="ER7" s="61"/>
      <c r="ES7" s="62"/>
      <c r="ET7" s="61"/>
      <c r="EU7" s="61"/>
      <c r="EV7" s="75"/>
      <c r="EW7" s="76"/>
      <c r="EX7" s="77"/>
      <c r="EY7" s="78" t="s">
        <v>30</v>
      </c>
      <c r="EZ7" s="79">
        <f>EZ4/4</f>
        <v>0</v>
      </c>
    </row>
    <row r="8" spans="2:156">
      <c r="B8" s="69"/>
      <c r="C8" s="70">
        <v>15</v>
      </c>
      <c r="D8" s="71"/>
      <c r="E8" s="70"/>
      <c r="F8" s="70"/>
      <c r="G8" s="70">
        <v>4000</v>
      </c>
      <c r="H8" s="72" t="s">
        <v>33</v>
      </c>
      <c r="I8" s="73"/>
      <c r="J8" s="77"/>
      <c r="K8" s="80" t="s">
        <v>34</v>
      </c>
      <c r="L8" s="81">
        <f>L4/6</f>
        <v>312.225</v>
      </c>
      <c r="O8" s="69"/>
      <c r="P8" s="70">
        <v>175</v>
      </c>
      <c r="Q8" s="71">
        <v>0</v>
      </c>
      <c r="R8" s="70"/>
      <c r="S8" s="70"/>
      <c r="T8" s="70"/>
      <c r="U8" s="72"/>
      <c r="V8" s="73"/>
      <c r="W8" s="77"/>
      <c r="X8" s="80" t="s">
        <v>34</v>
      </c>
      <c r="Y8" s="81">
        <f>Y4/6</f>
        <v>201.583333333333</v>
      </c>
      <c r="AB8" s="69"/>
      <c r="AC8" s="70"/>
      <c r="AD8" s="71"/>
      <c r="AE8" s="70">
        <v>291</v>
      </c>
      <c r="AF8" s="70"/>
      <c r="AG8" s="70">
        <v>30</v>
      </c>
      <c r="AH8" s="72" t="s">
        <v>29</v>
      </c>
      <c r="AI8" s="73"/>
      <c r="AJ8" s="77"/>
      <c r="AK8" s="80" t="s">
        <v>34</v>
      </c>
      <c r="AL8" s="81">
        <f>AL4/6</f>
        <v>112.491666666667</v>
      </c>
      <c r="AO8" s="69"/>
      <c r="AP8" s="70"/>
      <c r="AQ8" s="71"/>
      <c r="AR8" s="70">
        <v>506</v>
      </c>
      <c r="AS8" s="70">
        <v>50.6</v>
      </c>
      <c r="AT8" s="70"/>
      <c r="AU8" s="72"/>
      <c r="AV8" s="73"/>
      <c r="AW8" s="77"/>
      <c r="AX8" s="80" t="s">
        <v>34</v>
      </c>
      <c r="AY8" s="81">
        <f>AY4/6</f>
        <v>84.75</v>
      </c>
      <c r="BB8" s="69"/>
      <c r="BC8" s="70">
        <v>486</v>
      </c>
      <c r="BD8" s="71">
        <v>56</v>
      </c>
      <c r="BE8" s="70"/>
      <c r="BF8" s="70"/>
      <c r="BG8" s="70">
        <v>236</v>
      </c>
      <c r="BH8" s="72" t="s">
        <v>35</v>
      </c>
      <c r="BI8" s="73"/>
      <c r="BJ8" s="77"/>
      <c r="BK8" s="80" t="s">
        <v>34</v>
      </c>
      <c r="BL8" s="81">
        <f>BL4/6</f>
        <v>89.1</v>
      </c>
      <c r="BP8" s="69"/>
      <c r="BQ8" s="70"/>
      <c r="BR8" s="71"/>
      <c r="BS8" s="70"/>
      <c r="BT8" s="70"/>
      <c r="BU8" s="70"/>
      <c r="BV8" s="72"/>
      <c r="BW8" s="73"/>
      <c r="BX8" s="77"/>
      <c r="BY8" s="80" t="s">
        <v>34</v>
      </c>
      <c r="BZ8" s="81">
        <f>BZ4/6</f>
        <v>0</v>
      </c>
      <c r="CC8" s="69"/>
      <c r="CD8" s="70"/>
      <c r="CE8" s="71"/>
      <c r="CF8" s="70"/>
      <c r="CG8" s="70"/>
      <c r="CH8" s="70"/>
      <c r="CI8" s="72"/>
      <c r="CJ8" s="73"/>
      <c r="CK8" s="77"/>
      <c r="CL8" s="80" t="s">
        <v>34</v>
      </c>
      <c r="CM8" s="81">
        <f>CM4/6</f>
        <v>0</v>
      </c>
      <c r="CP8" s="69"/>
      <c r="CQ8" s="70"/>
      <c r="CR8" s="71"/>
      <c r="CS8" s="70"/>
      <c r="CT8" s="70"/>
      <c r="CU8" s="70"/>
      <c r="CV8" s="72"/>
      <c r="CW8" s="73"/>
      <c r="CX8" s="77"/>
      <c r="CY8" s="80" t="s">
        <v>34</v>
      </c>
      <c r="CZ8" s="81">
        <f>CZ4/6</f>
        <v>0</v>
      </c>
      <c r="DC8" s="69"/>
      <c r="DD8" s="70"/>
      <c r="DE8" s="71"/>
      <c r="DF8" s="70"/>
      <c r="DG8" s="70"/>
      <c r="DH8" s="70"/>
      <c r="DI8" s="72"/>
      <c r="DJ8" s="73"/>
      <c r="DK8" s="77"/>
      <c r="DL8" s="80" t="s">
        <v>34</v>
      </c>
      <c r="DM8" s="81">
        <f>DM4/6</f>
        <v>0</v>
      </c>
      <c r="DP8" s="69"/>
      <c r="DQ8" s="70"/>
      <c r="DR8" s="71"/>
      <c r="DS8" s="70"/>
      <c r="DT8" s="70"/>
      <c r="DU8" s="70"/>
      <c r="DV8" s="72"/>
      <c r="DW8" s="73"/>
      <c r="DX8" s="77"/>
      <c r="DY8" s="80" t="s">
        <v>34</v>
      </c>
      <c r="DZ8" s="81">
        <f>DZ4/6</f>
        <v>0</v>
      </c>
      <c r="EC8" s="69"/>
      <c r="ED8" s="70"/>
      <c r="EE8" s="71"/>
      <c r="EF8" s="70"/>
      <c r="EG8" s="70"/>
      <c r="EH8" s="70"/>
      <c r="EI8" s="72"/>
      <c r="EJ8" s="73"/>
      <c r="EK8" s="77"/>
      <c r="EL8" s="80" t="s">
        <v>34</v>
      </c>
      <c r="EM8" s="81">
        <f>EM4/6</f>
        <v>0</v>
      </c>
      <c r="EP8" s="69"/>
      <c r="EQ8" s="70"/>
      <c r="ER8" s="71"/>
      <c r="ES8" s="70"/>
      <c r="ET8" s="70"/>
      <c r="EU8" s="70"/>
      <c r="EV8" s="72"/>
      <c r="EW8" s="73"/>
      <c r="EX8" s="77"/>
      <c r="EY8" s="80" t="s">
        <v>34</v>
      </c>
      <c r="EZ8" s="81">
        <f>EZ4/6</f>
        <v>0</v>
      </c>
    </row>
    <row r="9" spans="2:156">
      <c r="B9" s="59"/>
      <c r="C9" s="60">
        <v>465</v>
      </c>
      <c r="D9" s="61">
        <v>35</v>
      </c>
      <c r="E9" s="62"/>
      <c r="F9" s="61"/>
      <c r="G9" s="61">
        <v>30</v>
      </c>
      <c r="H9" s="75" t="s">
        <v>36</v>
      </c>
      <c r="I9" s="76"/>
      <c r="J9" s="77"/>
      <c r="K9" s="82" t="s">
        <v>37</v>
      </c>
      <c r="L9" s="83">
        <f>L4/8</f>
        <v>234.16875</v>
      </c>
      <c r="O9" s="59"/>
      <c r="P9" s="60"/>
      <c r="Q9" s="61"/>
      <c r="R9" s="62">
        <v>222</v>
      </c>
      <c r="S9" s="61">
        <v>0</v>
      </c>
      <c r="T9" s="61"/>
      <c r="U9" s="75"/>
      <c r="V9" s="76"/>
      <c r="W9" s="77"/>
      <c r="X9" s="82" t="s">
        <v>37</v>
      </c>
      <c r="Y9" s="83">
        <f>Y4/8</f>
        <v>151.1875</v>
      </c>
      <c r="AB9" s="59"/>
      <c r="AC9" s="60"/>
      <c r="AD9" s="61"/>
      <c r="AE9" s="62">
        <v>224</v>
      </c>
      <c r="AF9" s="61">
        <v>22</v>
      </c>
      <c r="AG9" s="61">
        <v>2512</v>
      </c>
      <c r="AH9" s="75" t="s">
        <v>38</v>
      </c>
      <c r="AI9" s="76"/>
      <c r="AJ9" s="77"/>
      <c r="AK9" s="82" t="s">
        <v>37</v>
      </c>
      <c r="AL9" s="83">
        <f>AL4/8</f>
        <v>84.36875</v>
      </c>
      <c r="AO9" s="59"/>
      <c r="AP9" s="60"/>
      <c r="AQ9" s="61"/>
      <c r="AR9" s="62">
        <v>206</v>
      </c>
      <c r="AS9" s="61">
        <v>20.6</v>
      </c>
      <c r="AT9" s="61"/>
      <c r="AU9" s="75"/>
      <c r="AV9" s="84"/>
      <c r="AW9" s="77"/>
      <c r="AX9" s="82" t="s">
        <v>37</v>
      </c>
      <c r="AY9" s="83">
        <f>AY4/8</f>
        <v>63.5625</v>
      </c>
      <c r="BB9" s="59"/>
      <c r="BC9" s="60"/>
      <c r="BD9" s="61"/>
      <c r="BE9" s="62">
        <v>176</v>
      </c>
      <c r="BF9" s="61"/>
      <c r="BG9" s="61">
        <v>1180</v>
      </c>
      <c r="BH9" s="75" t="s">
        <v>39</v>
      </c>
      <c r="BI9" s="84"/>
      <c r="BJ9" s="77"/>
      <c r="BK9" s="82" t="s">
        <v>37</v>
      </c>
      <c r="BL9" s="83">
        <f>BL4/8</f>
        <v>66.825</v>
      </c>
      <c r="BP9" s="59"/>
      <c r="BQ9" s="60"/>
      <c r="BR9" s="61"/>
      <c r="BS9" s="62"/>
      <c r="BT9" s="61"/>
      <c r="BU9" s="61"/>
      <c r="BV9" s="75"/>
      <c r="BW9" s="76"/>
      <c r="BX9" s="77"/>
      <c r="BY9" s="82" t="s">
        <v>37</v>
      </c>
      <c r="BZ9" s="83">
        <f>BZ4/8</f>
        <v>0</v>
      </c>
      <c r="CC9" s="59"/>
      <c r="CD9" s="60"/>
      <c r="CE9" s="61"/>
      <c r="CF9" s="62"/>
      <c r="CG9" s="61"/>
      <c r="CH9" s="61"/>
      <c r="CI9" s="75"/>
      <c r="CJ9" s="76"/>
      <c r="CK9" s="77"/>
      <c r="CL9" s="82" t="s">
        <v>37</v>
      </c>
      <c r="CM9" s="83">
        <f>CM4/8</f>
        <v>0</v>
      </c>
      <c r="CP9" s="59"/>
      <c r="CQ9" s="60"/>
      <c r="CR9" s="61"/>
      <c r="CS9" s="62"/>
      <c r="CT9" s="61"/>
      <c r="CU9" s="61"/>
      <c r="CV9" s="75"/>
      <c r="CW9" s="76"/>
      <c r="CX9" s="77"/>
      <c r="CY9" s="82" t="s">
        <v>37</v>
      </c>
      <c r="CZ9" s="83">
        <f>CZ4/8</f>
        <v>0</v>
      </c>
      <c r="DC9" s="59"/>
      <c r="DD9" s="60"/>
      <c r="DE9" s="61"/>
      <c r="DF9" s="62"/>
      <c r="DG9" s="61"/>
      <c r="DH9" s="61"/>
      <c r="DI9" s="75"/>
      <c r="DJ9" s="76"/>
      <c r="DK9" s="77"/>
      <c r="DL9" s="82" t="s">
        <v>37</v>
      </c>
      <c r="DM9" s="83">
        <f>DM4/8</f>
        <v>0</v>
      </c>
      <c r="DP9" s="59"/>
      <c r="DQ9" s="60"/>
      <c r="DR9" s="61"/>
      <c r="DS9" s="62"/>
      <c r="DT9" s="61"/>
      <c r="DU9" s="61"/>
      <c r="DV9" s="75"/>
      <c r="DW9" s="76"/>
      <c r="DX9" s="77"/>
      <c r="DY9" s="82" t="s">
        <v>37</v>
      </c>
      <c r="DZ9" s="83">
        <f>DZ4/8</f>
        <v>0</v>
      </c>
      <c r="EC9" s="59"/>
      <c r="ED9" s="60"/>
      <c r="EE9" s="61"/>
      <c r="EF9" s="62"/>
      <c r="EG9" s="61"/>
      <c r="EH9" s="61"/>
      <c r="EI9" s="75"/>
      <c r="EJ9" s="76"/>
      <c r="EK9" s="77"/>
      <c r="EL9" s="82" t="s">
        <v>37</v>
      </c>
      <c r="EM9" s="83">
        <f>EM4/8</f>
        <v>0</v>
      </c>
      <c r="EP9" s="59"/>
      <c r="EQ9" s="60"/>
      <c r="ER9" s="61"/>
      <c r="ES9" s="62"/>
      <c r="ET9" s="61"/>
      <c r="EU9" s="61"/>
      <c r="EV9" s="75"/>
      <c r="EW9" s="76"/>
      <c r="EX9" s="77"/>
      <c r="EY9" s="82" t="s">
        <v>37</v>
      </c>
      <c r="EZ9" s="83">
        <f>EZ4/8</f>
        <v>0</v>
      </c>
    </row>
    <row r="10" spans="2:156">
      <c r="B10" s="69"/>
      <c r="C10" s="70">
        <v>480</v>
      </c>
      <c r="D10" s="85">
        <v>50</v>
      </c>
      <c r="E10" s="70">
        <v>168</v>
      </c>
      <c r="F10" s="70">
        <v>16.8</v>
      </c>
      <c r="G10" s="70">
        <v>1690</v>
      </c>
      <c r="H10" s="72" t="s">
        <v>40</v>
      </c>
      <c r="I10" s="73"/>
      <c r="J10" s="86"/>
      <c r="K10" s="77"/>
      <c r="L10" s="87"/>
      <c r="O10" s="69"/>
      <c r="P10" s="70"/>
      <c r="Q10" s="85"/>
      <c r="R10" s="70">
        <v>438</v>
      </c>
      <c r="S10" s="70">
        <v>43.8</v>
      </c>
      <c r="T10" s="70"/>
      <c r="U10" s="72"/>
      <c r="V10" s="73"/>
      <c r="W10" s="86"/>
      <c r="X10" s="77"/>
      <c r="Y10" s="87"/>
      <c r="AB10" s="69"/>
      <c r="AC10" s="70"/>
      <c r="AD10" s="85"/>
      <c r="AE10" s="70">
        <v>234</v>
      </c>
      <c r="AF10" s="70"/>
      <c r="AG10" s="70">
        <v>771</v>
      </c>
      <c r="AH10" s="72" t="s">
        <v>41</v>
      </c>
      <c r="AI10" s="73"/>
      <c r="AJ10" s="86"/>
      <c r="AK10" s="77"/>
      <c r="AL10" s="87"/>
      <c r="AO10" s="69"/>
      <c r="AP10" s="70"/>
      <c r="AQ10" s="85">
        <v>100</v>
      </c>
      <c r="AR10" s="70">
        <v>748</v>
      </c>
      <c r="AS10" s="70"/>
      <c r="AT10" s="70"/>
      <c r="AU10" s="72"/>
      <c r="AV10" s="73"/>
      <c r="AW10" s="86"/>
      <c r="AX10" s="77"/>
      <c r="AY10" s="87"/>
      <c r="BB10" s="69"/>
      <c r="BC10" s="70">
        <v>164</v>
      </c>
      <c r="BD10" s="85">
        <v>16</v>
      </c>
      <c r="BE10" s="70"/>
      <c r="BF10" s="70"/>
      <c r="BG10" s="70"/>
      <c r="BH10" s="72"/>
      <c r="BI10" s="73"/>
      <c r="BJ10" s="86"/>
      <c r="BK10" s="77"/>
      <c r="BL10" s="87"/>
      <c r="BP10" s="69"/>
      <c r="BQ10" s="70"/>
      <c r="BR10" s="85"/>
      <c r="BS10" s="70"/>
      <c r="BT10" s="70"/>
      <c r="BU10" s="70"/>
      <c r="BV10" s="72"/>
      <c r="BW10" s="73"/>
      <c r="BX10" s="86"/>
      <c r="BY10" s="77"/>
      <c r="BZ10" s="87"/>
      <c r="CC10" s="69"/>
      <c r="CD10" s="70"/>
      <c r="CE10" s="85"/>
      <c r="CF10" s="70"/>
      <c r="CG10" s="70"/>
      <c r="CH10" s="70"/>
      <c r="CI10" s="72"/>
      <c r="CJ10" s="73"/>
      <c r="CK10" s="86"/>
      <c r="CL10" s="77"/>
      <c r="CM10" s="87"/>
      <c r="CP10" s="69"/>
      <c r="CQ10" s="70"/>
      <c r="CR10" s="85"/>
      <c r="CS10" s="70"/>
      <c r="CT10" s="70"/>
      <c r="CU10" s="70"/>
      <c r="CV10" s="72"/>
      <c r="CW10" s="73"/>
      <c r="CX10" s="86"/>
      <c r="CY10" s="77"/>
      <c r="CZ10" s="87"/>
      <c r="DC10" s="69"/>
      <c r="DD10" s="70"/>
      <c r="DE10" s="85"/>
      <c r="DF10" s="70"/>
      <c r="DG10" s="70"/>
      <c r="DH10" s="70"/>
      <c r="DI10" s="72"/>
      <c r="DJ10" s="73"/>
      <c r="DK10" s="86"/>
      <c r="DL10" s="77"/>
      <c r="DM10" s="87"/>
      <c r="DP10" s="69"/>
      <c r="DQ10" s="70"/>
      <c r="DR10" s="85"/>
      <c r="DS10" s="70"/>
      <c r="DT10" s="70"/>
      <c r="DU10" s="70"/>
      <c r="DV10" s="72"/>
      <c r="DW10" s="73"/>
      <c r="DX10" s="86"/>
      <c r="DY10" s="77"/>
      <c r="DZ10" s="87"/>
      <c r="EC10" s="69"/>
      <c r="ED10" s="70"/>
      <c r="EE10" s="85"/>
      <c r="EF10" s="70"/>
      <c r="EG10" s="70"/>
      <c r="EH10" s="70"/>
      <c r="EI10" s="72"/>
      <c r="EJ10" s="73"/>
      <c r="EK10" s="86"/>
      <c r="EL10" s="77"/>
      <c r="EM10" s="87"/>
      <c r="EP10" s="69"/>
      <c r="EQ10" s="70"/>
      <c r="ER10" s="85"/>
      <c r="ES10" s="70"/>
      <c r="ET10" s="70"/>
      <c r="EU10" s="70"/>
      <c r="EV10" s="72"/>
      <c r="EW10" s="73"/>
      <c r="EX10" s="86"/>
      <c r="EY10" s="77"/>
      <c r="EZ10" s="87"/>
    </row>
    <row r="11" spans="2:156">
      <c r="B11" s="59"/>
      <c r="C11" s="60">
        <v>278</v>
      </c>
      <c r="D11" s="61">
        <v>22</v>
      </c>
      <c r="E11" s="62"/>
      <c r="F11" s="61"/>
      <c r="G11" s="61">
        <v>78</v>
      </c>
      <c r="H11" s="75" t="s">
        <v>42</v>
      </c>
      <c r="I11" s="76"/>
      <c r="J11" s="77"/>
      <c r="K11" s="58"/>
      <c r="L11" s="58"/>
      <c r="O11" s="59"/>
      <c r="P11" s="60">
        <v>43</v>
      </c>
      <c r="Q11" s="61">
        <v>10</v>
      </c>
      <c r="R11" s="62"/>
      <c r="S11" s="61"/>
      <c r="T11" s="61"/>
      <c r="U11" s="75"/>
      <c r="V11" s="76"/>
      <c r="W11" s="77"/>
      <c r="X11" s="58"/>
      <c r="Y11" s="58"/>
      <c r="AB11" s="59"/>
      <c r="AC11" s="60"/>
      <c r="AD11" s="61"/>
      <c r="AE11" s="62">
        <v>170</v>
      </c>
      <c r="AF11" s="61"/>
      <c r="AG11" s="61">
        <v>1881</v>
      </c>
      <c r="AH11" s="75" t="s">
        <v>43</v>
      </c>
      <c r="AI11" s="76"/>
      <c r="AJ11" s="77"/>
      <c r="AK11" s="58"/>
      <c r="AL11" s="58"/>
      <c r="AO11" s="59"/>
      <c r="AP11" s="60"/>
      <c r="AQ11" s="61"/>
      <c r="AR11" s="62">
        <v>616</v>
      </c>
      <c r="AS11" s="61">
        <v>92.4</v>
      </c>
      <c r="AT11" s="61"/>
      <c r="AU11" s="75"/>
      <c r="AV11" s="84"/>
      <c r="AW11" s="77"/>
      <c r="AX11" s="58"/>
      <c r="AY11" s="58"/>
      <c r="AZ11">
        <f>AVERAGE(AY3,AY26,AY59,AY94,AY129,AY160,AY188,AY219,AY246,AY275,AY304,AY337,AY366,AY397,AY427,AY453,AY479,AY506,AY538,AY567,AY594,AY629,AY654,AY683,AY711,AY740,AY771,AY816,AY839,AY866)</f>
        <v>5117.03333333333</v>
      </c>
      <c r="BB11" s="59"/>
      <c r="BC11" s="60"/>
      <c r="BD11" s="61"/>
      <c r="BE11" s="62">
        <v>903</v>
      </c>
      <c r="BF11" s="61">
        <v>90.3</v>
      </c>
      <c r="BG11" s="61"/>
      <c r="BH11" s="75"/>
      <c r="BI11" s="84"/>
      <c r="BJ11" s="77"/>
      <c r="BK11" s="58"/>
      <c r="BL11" s="58"/>
      <c r="BP11" s="59"/>
      <c r="BQ11" s="60"/>
      <c r="BR11" s="61"/>
      <c r="BS11" s="62"/>
      <c r="BT11" s="61"/>
      <c r="BU11" s="61"/>
      <c r="BV11" s="75"/>
      <c r="BW11" s="76"/>
      <c r="BX11" s="77"/>
      <c r="BY11" s="58"/>
      <c r="BZ11" s="58"/>
      <c r="CC11" s="59"/>
      <c r="CD11" s="60"/>
      <c r="CE11" s="61"/>
      <c r="CF11" s="62"/>
      <c r="CG11" s="61"/>
      <c r="CH11" s="61"/>
      <c r="CI11" s="75"/>
      <c r="CJ11" s="76"/>
      <c r="CK11" s="77"/>
      <c r="CL11" s="58"/>
      <c r="CM11" s="58"/>
      <c r="CP11" s="59"/>
      <c r="CQ11" s="60"/>
      <c r="CR11" s="61"/>
      <c r="CS11" s="62"/>
      <c r="CT11" s="61"/>
      <c r="CU11" s="61"/>
      <c r="CV11" s="75"/>
      <c r="CW11" s="76"/>
      <c r="CX11" s="77"/>
      <c r="CY11" s="58"/>
      <c r="CZ11" s="58"/>
      <c r="DC11" s="59"/>
      <c r="DD11" s="60"/>
      <c r="DE11" s="61"/>
      <c r="DF11" s="62"/>
      <c r="DG11" s="61"/>
      <c r="DH11" s="61"/>
      <c r="DI11" s="75"/>
      <c r="DJ11" s="76"/>
      <c r="DK11" s="77"/>
      <c r="DL11" s="58"/>
      <c r="DM11" s="58"/>
      <c r="DP11" s="59"/>
      <c r="DQ11" s="60"/>
      <c r="DR11" s="61"/>
      <c r="DS11" s="62"/>
      <c r="DT11" s="61"/>
      <c r="DU11" s="61"/>
      <c r="DV11" s="75"/>
      <c r="DW11" s="76"/>
      <c r="DX11" s="77"/>
      <c r="DY11" s="58"/>
      <c r="DZ11" s="58"/>
      <c r="EC11" s="59"/>
      <c r="ED11" s="60"/>
      <c r="EE11" s="61"/>
      <c r="EF11" s="62"/>
      <c r="EG11" s="61"/>
      <c r="EH11" s="61"/>
      <c r="EI11" s="75"/>
      <c r="EJ11" s="76"/>
      <c r="EK11" s="77"/>
      <c r="EL11" s="58"/>
      <c r="EM11" s="58"/>
      <c r="EP11" s="59"/>
      <c r="EQ11" s="60"/>
      <c r="ER11" s="61"/>
      <c r="ES11" s="62"/>
      <c r="ET11" s="61"/>
      <c r="EU11" s="61"/>
      <c r="EV11" s="75"/>
      <c r="EW11" s="76"/>
      <c r="EX11" s="77"/>
      <c r="EY11" s="58"/>
      <c r="EZ11" s="58"/>
    </row>
    <row r="12" spans="2:156">
      <c r="B12" s="69"/>
      <c r="C12" s="70">
        <v>408</v>
      </c>
      <c r="D12" s="71">
        <v>40</v>
      </c>
      <c r="E12" s="70"/>
      <c r="F12" s="70"/>
      <c r="G12" s="70">
        <v>4500</v>
      </c>
      <c r="H12" s="72" t="s">
        <v>33</v>
      </c>
      <c r="I12" s="73"/>
      <c r="J12" s="77"/>
      <c r="K12" s="58"/>
      <c r="L12" s="58"/>
      <c r="O12" s="69"/>
      <c r="P12" s="70"/>
      <c r="Q12" s="71">
        <v>40</v>
      </c>
      <c r="R12" s="70">
        <v>455</v>
      </c>
      <c r="S12" s="70"/>
      <c r="T12" s="70"/>
      <c r="U12" s="72"/>
      <c r="V12" s="73"/>
      <c r="W12" s="77"/>
      <c r="X12" s="58"/>
      <c r="Y12" s="58"/>
      <c r="AB12" s="69"/>
      <c r="AC12" s="70">
        <v>142</v>
      </c>
      <c r="AD12" s="71">
        <v>16</v>
      </c>
      <c r="AE12" s="70"/>
      <c r="AF12" s="70"/>
      <c r="AG12" s="70"/>
      <c r="AH12" s="72"/>
      <c r="AI12" s="73"/>
      <c r="AJ12" s="77"/>
      <c r="AK12" s="58"/>
      <c r="AL12" s="58"/>
      <c r="AO12" s="69"/>
      <c r="AP12" s="70">
        <v>142</v>
      </c>
      <c r="AQ12" s="85"/>
      <c r="AR12" s="70"/>
      <c r="AS12" s="70"/>
      <c r="AT12" s="70"/>
      <c r="AU12" s="72"/>
      <c r="AV12" s="73"/>
      <c r="AW12" s="77"/>
      <c r="AX12" s="58"/>
      <c r="AY12" s="58"/>
      <c r="BB12" s="69"/>
      <c r="BC12" s="70"/>
      <c r="BD12" s="85"/>
      <c r="BE12" s="70">
        <v>387</v>
      </c>
      <c r="BF12" s="70">
        <v>38.7</v>
      </c>
      <c r="BG12" s="70"/>
      <c r="BH12" s="72"/>
      <c r="BI12" s="73"/>
      <c r="BJ12" s="77"/>
      <c r="BK12" s="58"/>
      <c r="BL12" s="58"/>
      <c r="BP12" s="69"/>
      <c r="BQ12" s="70"/>
      <c r="BR12" s="71"/>
      <c r="BS12" s="70"/>
      <c r="BT12" s="70"/>
      <c r="BU12" s="70"/>
      <c r="BV12" s="72"/>
      <c r="BW12" s="73"/>
      <c r="BX12" s="77"/>
      <c r="BY12" s="58"/>
      <c r="BZ12" s="58"/>
      <c r="CC12" s="69"/>
      <c r="CD12" s="70"/>
      <c r="CE12" s="71"/>
      <c r="CF12" s="70"/>
      <c r="CG12" s="70"/>
      <c r="CH12" s="70"/>
      <c r="CI12" s="72"/>
      <c r="CJ12" s="73"/>
      <c r="CK12" s="77"/>
      <c r="CL12" s="58"/>
      <c r="CM12" s="58"/>
      <c r="CP12" s="69"/>
      <c r="CQ12" s="70"/>
      <c r="CR12" s="71"/>
      <c r="CS12" s="70"/>
      <c r="CT12" s="70"/>
      <c r="CU12" s="70"/>
      <c r="CV12" s="72"/>
      <c r="CW12" s="73"/>
      <c r="CX12" s="77"/>
      <c r="CY12" s="58"/>
      <c r="CZ12" s="58"/>
      <c r="DC12" s="69"/>
      <c r="DD12" s="70"/>
      <c r="DE12" s="71"/>
      <c r="DF12" s="70"/>
      <c r="DG12" s="70"/>
      <c r="DH12" s="70"/>
      <c r="DI12" s="72"/>
      <c r="DJ12" s="73"/>
      <c r="DK12" s="77"/>
      <c r="DL12" s="58"/>
      <c r="DM12" s="58"/>
      <c r="DP12" s="69"/>
      <c r="DQ12" s="70"/>
      <c r="DR12" s="71"/>
      <c r="DS12" s="70"/>
      <c r="DT12" s="70"/>
      <c r="DU12" s="70"/>
      <c r="DV12" s="72"/>
      <c r="DW12" s="73"/>
      <c r="DX12" s="77"/>
      <c r="DY12" s="58"/>
      <c r="DZ12" s="58"/>
      <c r="EC12" s="69"/>
      <c r="ED12" s="70"/>
      <c r="EE12" s="71"/>
      <c r="EF12" s="70"/>
      <c r="EG12" s="70"/>
      <c r="EH12" s="70"/>
      <c r="EI12" s="72"/>
      <c r="EJ12" s="73"/>
      <c r="EK12" s="77"/>
      <c r="EL12" s="58"/>
      <c r="EM12" s="58"/>
      <c r="EP12" s="69"/>
      <c r="EQ12" s="70"/>
      <c r="ER12" s="71"/>
      <c r="ES12" s="70"/>
      <c r="ET12" s="70"/>
      <c r="EU12" s="70"/>
      <c r="EV12" s="72"/>
      <c r="EW12" s="73"/>
      <c r="EX12" s="77"/>
      <c r="EY12" s="58"/>
      <c r="EZ12" s="58"/>
    </row>
    <row r="13" spans="2:156">
      <c r="B13" s="59"/>
      <c r="C13" s="60">
        <v>468</v>
      </c>
      <c r="D13" s="88">
        <v>32</v>
      </c>
      <c r="E13" s="62"/>
      <c r="F13" s="61"/>
      <c r="G13" s="61"/>
      <c r="H13" s="75"/>
      <c r="I13" s="76"/>
      <c r="J13" s="77"/>
      <c r="K13" s="58"/>
      <c r="L13" s="58"/>
      <c r="O13" s="59"/>
      <c r="P13" s="60"/>
      <c r="Q13" s="88"/>
      <c r="R13" s="62">
        <v>708</v>
      </c>
      <c r="S13" s="61">
        <v>70.8</v>
      </c>
      <c r="T13" s="61"/>
      <c r="U13" s="75"/>
      <c r="V13" s="76"/>
      <c r="W13" s="77"/>
      <c r="X13" s="58"/>
      <c r="Y13" s="58"/>
      <c r="AB13" s="59"/>
      <c r="AC13" s="60">
        <v>535</v>
      </c>
      <c r="AD13" s="88">
        <v>103</v>
      </c>
      <c r="AE13" s="62"/>
      <c r="AF13" s="61"/>
      <c r="AG13" s="61"/>
      <c r="AH13" s="75"/>
      <c r="AI13" s="76"/>
      <c r="AJ13" s="77"/>
      <c r="AK13" s="58"/>
      <c r="AL13" s="58"/>
      <c r="AO13" s="59"/>
      <c r="AP13" s="60"/>
      <c r="AQ13" s="61">
        <v>20</v>
      </c>
      <c r="AR13" s="62">
        <v>465</v>
      </c>
      <c r="AS13" s="61"/>
      <c r="AT13" s="61"/>
      <c r="AU13" s="75"/>
      <c r="AV13" s="84"/>
      <c r="AW13" s="77"/>
      <c r="AX13" s="58"/>
      <c r="AY13" s="58"/>
      <c r="BB13" s="59"/>
      <c r="BC13" s="60">
        <v>50</v>
      </c>
      <c r="BD13" s="61"/>
      <c r="BE13" s="62"/>
      <c r="BF13" s="61"/>
      <c r="BG13" s="61"/>
      <c r="BH13" s="75"/>
      <c r="BI13" s="84"/>
      <c r="BJ13" s="77"/>
      <c r="BK13" s="58"/>
      <c r="BL13" s="58"/>
      <c r="BP13" s="59"/>
      <c r="BQ13" s="60"/>
      <c r="BR13" s="88"/>
      <c r="BS13" s="62"/>
      <c r="BT13" s="61"/>
      <c r="BU13" s="61"/>
      <c r="BV13" s="75"/>
      <c r="BW13" s="76"/>
      <c r="BX13" s="77"/>
      <c r="BY13" s="58"/>
      <c r="BZ13" s="58"/>
      <c r="CC13" s="59"/>
      <c r="CD13" s="60"/>
      <c r="CE13" s="88"/>
      <c r="CF13" s="62"/>
      <c r="CG13" s="61"/>
      <c r="CH13" s="61"/>
      <c r="CI13" s="75"/>
      <c r="CJ13" s="76"/>
      <c r="CK13" s="77"/>
      <c r="CL13" s="58"/>
      <c r="CM13" s="58"/>
      <c r="CP13" s="59"/>
      <c r="CQ13" s="60"/>
      <c r="CR13" s="88"/>
      <c r="CS13" s="62"/>
      <c r="CT13" s="61"/>
      <c r="CU13" s="61"/>
      <c r="CV13" s="75"/>
      <c r="CW13" s="76"/>
      <c r="CX13" s="77"/>
      <c r="CY13" s="58"/>
      <c r="CZ13" s="58"/>
      <c r="DC13" s="59"/>
      <c r="DD13" s="60"/>
      <c r="DE13" s="88"/>
      <c r="DF13" s="62"/>
      <c r="DG13" s="61"/>
      <c r="DH13" s="61"/>
      <c r="DI13" s="75"/>
      <c r="DJ13" s="76"/>
      <c r="DK13" s="77"/>
      <c r="DL13" s="58"/>
      <c r="DM13" s="58"/>
      <c r="DP13" s="59"/>
      <c r="DQ13" s="60"/>
      <c r="DR13" s="88"/>
      <c r="DS13" s="62"/>
      <c r="DT13" s="61"/>
      <c r="DU13" s="61"/>
      <c r="DV13" s="75"/>
      <c r="DW13" s="76"/>
      <c r="DX13" s="77"/>
      <c r="DY13" s="58"/>
      <c r="DZ13" s="58"/>
      <c r="EC13" s="59"/>
      <c r="ED13" s="60"/>
      <c r="EE13" s="88"/>
      <c r="EF13" s="62"/>
      <c r="EG13" s="61"/>
      <c r="EH13" s="61"/>
      <c r="EI13" s="75"/>
      <c r="EJ13" s="76"/>
      <c r="EK13" s="77"/>
      <c r="EL13" s="58"/>
      <c r="EM13" s="58"/>
      <c r="EP13" s="59"/>
      <c r="EQ13" s="60"/>
      <c r="ER13" s="88"/>
      <c r="ES13" s="62"/>
      <c r="ET13" s="61"/>
      <c r="EU13" s="61"/>
      <c r="EV13" s="75"/>
      <c r="EW13" s="76"/>
      <c r="EX13" s="77"/>
      <c r="EY13" s="58"/>
      <c r="EZ13" s="58"/>
    </row>
    <row r="14" spans="2:156">
      <c r="B14" s="69"/>
      <c r="C14" s="70"/>
      <c r="D14" s="71"/>
      <c r="E14" s="70">
        <v>470</v>
      </c>
      <c r="F14" s="70">
        <v>23.5</v>
      </c>
      <c r="G14" s="70"/>
      <c r="H14" s="72"/>
      <c r="I14" s="73"/>
      <c r="J14" s="89" t="s">
        <v>44</v>
      </c>
      <c r="K14" s="90" t="s">
        <v>45</v>
      </c>
      <c r="L14" s="90" t="s">
        <v>46</v>
      </c>
      <c r="O14" s="69"/>
      <c r="P14" s="70">
        <v>595</v>
      </c>
      <c r="Q14" s="91">
        <v>63.5</v>
      </c>
      <c r="R14" s="70"/>
      <c r="S14" s="70"/>
      <c r="T14" s="70"/>
      <c r="U14" s="72"/>
      <c r="V14" s="73"/>
      <c r="W14" s="89" t="s">
        <v>44</v>
      </c>
      <c r="X14" s="90" t="s">
        <v>45</v>
      </c>
      <c r="Y14" s="90" t="s">
        <v>46</v>
      </c>
      <c r="AB14" s="69"/>
      <c r="AC14" s="70"/>
      <c r="AD14" s="71"/>
      <c r="AE14" s="70">
        <v>175</v>
      </c>
      <c r="AF14" s="70">
        <v>26</v>
      </c>
      <c r="AG14" s="70"/>
      <c r="AH14" s="72"/>
      <c r="AI14" s="73"/>
      <c r="AJ14" s="89" t="s">
        <v>44</v>
      </c>
      <c r="AK14" s="90" t="s">
        <v>45</v>
      </c>
      <c r="AL14" s="90" t="s">
        <v>46</v>
      </c>
      <c r="AO14" s="69"/>
      <c r="AP14" s="70">
        <v>258</v>
      </c>
      <c r="AQ14" s="85">
        <v>50</v>
      </c>
      <c r="AR14" s="70"/>
      <c r="AS14" s="70"/>
      <c r="AT14" s="70"/>
      <c r="AU14" s="72"/>
      <c r="AV14" s="73"/>
      <c r="AW14" s="89" t="s">
        <v>44</v>
      </c>
      <c r="AX14" s="90" t="s">
        <v>45</v>
      </c>
      <c r="AY14" s="90" t="s">
        <v>46</v>
      </c>
      <c r="BB14" s="69"/>
      <c r="BC14" s="70">
        <v>375</v>
      </c>
      <c r="BD14" s="85">
        <v>40</v>
      </c>
      <c r="BE14" s="70"/>
      <c r="BF14" s="70"/>
      <c r="BG14" s="70"/>
      <c r="BH14" s="72"/>
      <c r="BI14" s="73"/>
      <c r="BJ14" s="89" t="s">
        <v>44</v>
      </c>
      <c r="BK14" s="90" t="s">
        <v>45</v>
      </c>
      <c r="BL14" s="90" t="s">
        <v>46</v>
      </c>
      <c r="BP14" s="69"/>
      <c r="BQ14" s="70"/>
      <c r="BR14" s="71"/>
      <c r="BS14" s="70"/>
      <c r="BT14" s="70"/>
      <c r="BU14" s="70"/>
      <c r="BV14" s="72"/>
      <c r="BW14" s="73"/>
      <c r="BX14" s="89" t="s">
        <v>44</v>
      </c>
      <c r="BY14" s="90" t="s">
        <v>45</v>
      </c>
      <c r="BZ14" s="90" t="s">
        <v>46</v>
      </c>
      <c r="CC14" s="69"/>
      <c r="CD14" s="70"/>
      <c r="CE14" s="71"/>
      <c r="CF14" s="70"/>
      <c r="CG14" s="70"/>
      <c r="CH14" s="70"/>
      <c r="CI14" s="72"/>
      <c r="CJ14" s="73"/>
      <c r="CK14" s="89" t="s">
        <v>44</v>
      </c>
      <c r="CL14" s="90" t="s">
        <v>45</v>
      </c>
      <c r="CM14" s="90" t="s">
        <v>46</v>
      </c>
      <c r="CP14" s="69"/>
      <c r="CQ14" s="70"/>
      <c r="CR14" s="71"/>
      <c r="CS14" s="70"/>
      <c r="CT14" s="70"/>
      <c r="CU14" s="70"/>
      <c r="CV14" s="72"/>
      <c r="CW14" s="73"/>
      <c r="CX14" s="89" t="s">
        <v>44</v>
      </c>
      <c r="CY14" s="90" t="s">
        <v>45</v>
      </c>
      <c r="CZ14" s="90" t="s">
        <v>46</v>
      </c>
      <c r="DC14" s="69"/>
      <c r="DD14" s="70"/>
      <c r="DE14" s="71"/>
      <c r="DF14" s="70"/>
      <c r="DG14" s="70"/>
      <c r="DH14" s="70"/>
      <c r="DI14" s="72"/>
      <c r="DJ14" s="73"/>
      <c r="DK14" s="89" t="s">
        <v>44</v>
      </c>
      <c r="DL14" s="90" t="s">
        <v>45</v>
      </c>
      <c r="DM14" s="90" t="s">
        <v>46</v>
      </c>
      <c r="DP14" s="69"/>
      <c r="DQ14" s="70"/>
      <c r="DR14" s="71"/>
      <c r="DS14" s="70"/>
      <c r="DT14" s="70"/>
      <c r="DU14" s="70"/>
      <c r="DV14" s="72"/>
      <c r="DW14" s="73"/>
      <c r="DX14" s="89" t="s">
        <v>44</v>
      </c>
      <c r="DY14" s="90" t="s">
        <v>45</v>
      </c>
      <c r="DZ14" s="90" t="s">
        <v>46</v>
      </c>
      <c r="EC14" s="69"/>
      <c r="ED14" s="70"/>
      <c r="EE14" s="71"/>
      <c r="EF14" s="70"/>
      <c r="EG14" s="70"/>
      <c r="EH14" s="70"/>
      <c r="EI14" s="72"/>
      <c r="EJ14" s="73"/>
      <c r="EK14" s="89" t="s">
        <v>44</v>
      </c>
      <c r="EL14" s="90" t="s">
        <v>45</v>
      </c>
      <c r="EM14" s="90" t="s">
        <v>46</v>
      </c>
      <c r="EP14" s="69"/>
      <c r="EQ14" s="70"/>
      <c r="ER14" s="71"/>
      <c r="ES14" s="70"/>
      <c r="ET14" s="70"/>
      <c r="EU14" s="70"/>
      <c r="EV14" s="72"/>
      <c r="EW14" s="73"/>
      <c r="EX14" s="89" t="s">
        <v>44</v>
      </c>
      <c r="EY14" s="90" t="s">
        <v>45</v>
      </c>
      <c r="EZ14" s="90" t="s">
        <v>46</v>
      </c>
    </row>
    <row r="15" spans="2:156">
      <c r="B15" s="59"/>
      <c r="C15" s="60"/>
      <c r="D15" s="61"/>
      <c r="E15" s="62">
        <v>516</v>
      </c>
      <c r="F15" s="61">
        <v>51.6</v>
      </c>
      <c r="G15" s="61"/>
      <c r="H15" s="75"/>
      <c r="I15" s="76"/>
      <c r="J15" s="92" t="s">
        <v>47</v>
      </c>
      <c r="K15" s="93" t="s">
        <v>48</v>
      </c>
      <c r="L15" s="93" t="s">
        <v>49</v>
      </c>
      <c r="O15" s="59"/>
      <c r="P15" s="60">
        <v>170</v>
      </c>
      <c r="Q15" s="61"/>
      <c r="R15" s="62"/>
      <c r="S15" s="61"/>
      <c r="T15" s="61"/>
      <c r="U15" s="75"/>
      <c r="V15" s="76"/>
      <c r="W15" s="92" t="s">
        <v>47</v>
      </c>
      <c r="X15" s="93" t="s">
        <v>48</v>
      </c>
      <c r="Y15" s="93" t="s">
        <v>50</v>
      </c>
      <c r="AB15" s="59"/>
      <c r="AC15" s="60"/>
      <c r="AD15" s="61"/>
      <c r="AE15" s="62">
        <v>456</v>
      </c>
      <c r="AF15" s="61">
        <v>45.6</v>
      </c>
      <c r="AG15" s="61"/>
      <c r="AH15" s="75"/>
      <c r="AI15" s="76"/>
      <c r="AJ15" s="92" t="s">
        <v>47</v>
      </c>
      <c r="AK15" s="93" t="s">
        <v>48</v>
      </c>
      <c r="AL15" s="93" t="s">
        <v>51</v>
      </c>
      <c r="AO15" s="59"/>
      <c r="AP15" s="60"/>
      <c r="AQ15" s="61"/>
      <c r="AR15" s="62"/>
      <c r="AS15" s="61"/>
      <c r="AT15" s="61"/>
      <c r="AU15" s="75"/>
      <c r="AV15" s="76"/>
      <c r="AW15" s="92" t="s">
        <v>47</v>
      </c>
      <c r="AX15" s="93" t="s">
        <v>48</v>
      </c>
      <c r="AY15" s="93" t="s">
        <v>49</v>
      </c>
      <c r="BB15" s="59"/>
      <c r="BC15" s="60">
        <v>335</v>
      </c>
      <c r="BD15" s="61">
        <v>35</v>
      </c>
      <c r="BE15" s="62"/>
      <c r="BF15" s="61"/>
      <c r="BG15" s="61"/>
      <c r="BH15" s="75"/>
      <c r="BI15" s="84"/>
      <c r="BJ15" s="92" t="s">
        <v>47</v>
      </c>
      <c r="BK15" s="93" t="s">
        <v>48</v>
      </c>
      <c r="BL15" s="93" t="s">
        <v>49</v>
      </c>
      <c r="BP15" s="59"/>
      <c r="BQ15" s="60"/>
      <c r="BR15" s="61"/>
      <c r="BS15" s="62"/>
      <c r="BT15" s="61"/>
      <c r="BU15" s="61"/>
      <c r="BV15" s="75"/>
      <c r="BW15" s="76"/>
      <c r="BX15" s="92" t="s">
        <v>47</v>
      </c>
      <c r="BY15" s="93" t="s">
        <v>48</v>
      </c>
      <c r="BZ15" s="93" t="s">
        <v>49</v>
      </c>
      <c r="CC15" s="59"/>
      <c r="CD15" s="60"/>
      <c r="CE15" s="61"/>
      <c r="CF15" s="62"/>
      <c r="CG15" s="61"/>
      <c r="CH15" s="61"/>
      <c r="CI15" s="75"/>
      <c r="CJ15" s="76"/>
      <c r="CK15" s="92" t="s">
        <v>47</v>
      </c>
      <c r="CL15" s="93" t="s">
        <v>48</v>
      </c>
      <c r="CM15" s="93" t="s">
        <v>49</v>
      </c>
      <c r="CP15" s="59"/>
      <c r="CQ15" s="60"/>
      <c r="CR15" s="61"/>
      <c r="CS15" s="62"/>
      <c r="CT15" s="61"/>
      <c r="CU15" s="61"/>
      <c r="CV15" s="75"/>
      <c r="CW15" s="76"/>
      <c r="CX15" s="92" t="s">
        <v>47</v>
      </c>
      <c r="CY15" s="93" t="s">
        <v>48</v>
      </c>
      <c r="CZ15" s="93" t="s">
        <v>49</v>
      </c>
      <c r="DC15" s="59"/>
      <c r="DD15" s="60"/>
      <c r="DE15" s="61"/>
      <c r="DF15" s="62"/>
      <c r="DG15" s="61"/>
      <c r="DH15" s="61"/>
      <c r="DI15" s="75"/>
      <c r="DJ15" s="76"/>
      <c r="DK15" s="92" t="s">
        <v>47</v>
      </c>
      <c r="DL15" s="93" t="s">
        <v>48</v>
      </c>
      <c r="DM15" s="93" t="s">
        <v>49</v>
      </c>
      <c r="DP15" s="59"/>
      <c r="DQ15" s="60"/>
      <c r="DR15" s="61"/>
      <c r="DS15" s="62"/>
      <c r="DT15" s="61"/>
      <c r="DU15" s="61"/>
      <c r="DV15" s="75"/>
      <c r="DW15" s="76"/>
      <c r="DX15" s="92" t="s">
        <v>47</v>
      </c>
      <c r="DY15" s="93" t="s">
        <v>48</v>
      </c>
      <c r="DZ15" s="93" t="s">
        <v>49</v>
      </c>
      <c r="EC15" s="59"/>
      <c r="ED15" s="60"/>
      <c r="EE15" s="61"/>
      <c r="EF15" s="62"/>
      <c r="EG15" s="61"/>
      <c r="EH15" s="61"/>
      <c r="EI15" s="75"/>
      <c r="EJ15" s="76"/>
      <c r="EK15" s="92" t="s">
        <v>47</v>
      </c>
      <c r="EL15" s="93" t="s">
        <v>48</v>
      </c>
      <c r="EM15" s="93" t="s">
        <v>49</v>
      </c>
      <c r="EP15" s="59"/>
      <c r="EQ15" s="60"/>
      <c r="ER15" s="61"/>
      <c r="ES15" s="62"/>
      <c r="ET15" s="61"/>
      <c r="EU15" s="61"/>
      <c r="EV15" s="75"/>
      <c r="EW15" s="76"/>
      <c r="EX15" s="92" t="s">
        <v>47</v>
      </c>
      <c r="EY15" s="93" t="s">
        <v>48</v>
      </c>
      <c r="EZ15" s="93" t="s">
        <v>49</v>
      </c>
    </row>
    <row r="16" spans="2:156">
      <c r="B16" s="69"/>
      <c r="C16" s="70"/>
      <c r="D16" s="71"/>
      <c r="E16" s="70">
        <v>816</v>
      </c>
      <c r="F16" s="70">
        <v>81.6</v>
      </c>
      <c r="G16" s="70"/>
      <c r="H16" s="72"/>
      <c r="I16" s="73"/>
      <c r="J16" s="94" t="s">
        <v>52</v>
      </c>
      <c r="K16" s="95" t="s">
        <v>27</v>
      </c>
      <c r="L16" s="95" t="s">
        <v>53</v>
      </c>
      <c r="O16" s="69"/>
      <c r="P16" s="70"/>
      <c r="Q16" s="71"/>
      <c r="R16" s="70">
        <v>216</v>
      </c>
      <c r="S16" s="70">
        <v>21.6</v>
      </c>
      <c r="T16" s="70"/>
      <c r="U16" s="72"/>
      <c r="V16" s="73"/>
      <c r="W16" s="94" t="s">
        <v>52</v>
      </c>
      <c r="X16" s="95" t="s">
        <v>27</v>
      </c>
      <c r="Y16" s="95" t="s">
        <v>43</v>
      </c>
      <c r="AB16" s="69"/>
      <c r="AC16" s="70">
        <v>230</v>
      </c>
      <c r="AD16" s="71">
        <v>22</v>
      </c>
      <c r="AE16" s="70"/>
      <c r="AF16" s="70"/>
      <c r="AG16" s="70"/>
      <c r="AH16" s="72"/>
      <c r="AI16" s="73"/>
      <c r="AJ16" s="94" t="s">
        <v>52</v>
      </c>
      <c r="AK16" s="95" t="s">
        <v>27</v>
      </c>
      <c r="AL16" s="95" t="s">
        <v>43</v>
      </c>
      <c r="AO16" s="69"/>
      <c r="AP16" s="70"/>
      <c r="AQ16" s="71"/>
      <c r="AR16" s="70"/>
      <c r="AS16" s="70"/>
      <c r="AT16" s="70"/>
      <c r="AU16" s="72"/>
      <c r="AV16" s="73"/>
      <c r="AW16" s="94" t="s">
        <v>52</v>
      </c>
      <c r="AX16" s="95" t="s">
        <v>27</v>
      </c>
      <c r="AY16" s="95" t="s">
        <v>53</v>
      </c>
      <c r="BB16" s="69"/>
      <c r="BC16" s="70">
        <v>110</v>
      </c>
      <c r="BD16" s="85"/>
      <c r="BE16" s="70"/>
      <c r="BF16" s="70"/>
      <c r="BG16" s="70"/>
      <c r="BH16" s="72"/>
      <c r="BI16" s="73"/>
      <c r="BJ16" s="94" t="s">
        <v>52</v>
      </c>
      <c r="BK16" s="95" t="s">
        <v>27</v>
      </c>
      <c r="BL16" s="95" t="s">
        <v>53</v>
      </c>
      <c r="BP16" s="69"/>
      <c r="BQ16" s="70"/>
      <c r="BR16" s="71"/>
      <c r="BS16" s="70"/>
      <c r="BT16" s="70"/>
      <c r="BU16" s="70"/>
      <c r="BV16" s="72"/>
      <c r="BW16" s="73"/>
      <c r="BX16" s="94" t="s">
        <v>52</v>
      </c>
      <c r="BY16" s="95" t="s">
        <v>27</v>
      </c>
      <c r="BZ16" s="95" t="s">
        <v>53</v>
      </c>
      <c r="CC16" s="69"/>
      <c r="CD16" s="70"/>
      <c r="CE16" s="71"/>
      <c r="CF16" s="70"/>
      <c r="CG16" s="70"/>
      <c r="CH16" s="70"/>
      <c r="CI16" s="72"/>
      <c r="CJ16" s="73"/>
      <c r="CK16" s="94" t="s">
        <v>52</v>
      </c>
      <c r="CL16" s="95" t="s">
        <v>27</v>
      </c>
      <c r="CM16" s="95" t="s">
        <v>53</v>
      </c>
      <c r="CP16" s="69"/>
      <c r="CQ16" s="70"/>
      <c r="CR16" s="71"/>
      <c r="CS16" s="70"/>
      <c r="CT16" s="70"/>
      <c r="CU16" s="70"/>
      <c r="CV16" s="72"/>
      <c r="CW16" s="73"/>
      <c r="CX16" s="94" t="s">
        <v>52</v>
      </c>
      <c r="CY16" s="95" t="s">
        <v>27</v>
      </c>
      <c r="CZ16" s="95" t="s">
        <v>53</v>
      </c>
      <c r="DC16" s="69"/>
      <c r="DD16" s="70"/>
      <c r="DE16" s="71"/>
      <c r="DF16" s="70"/>
      <c r="DG16" s="70"/>
      <c r="DH16" s="70"/>
      <c r="DI16" s="72"/>
      <c r="DJ16" s="73"/>
      <c r="DK16" s="94" t="s">
        <v>52</v>
      </c>
      <c r="DL16" s="95" t="s">
        <v>27</v>
      </c>
      <c r="DM16" s="95" t="s">
        <v>53</v>
      </c>
      <c r="DP16" s="69"/>
      <c r="DQ16" s="70"/>
      <c r="DR16" s="71"/>
      <c r="DS16" s="70"/>
      <c r="DT16" s="70"/>
      <c r="DU16" s="70"/>
      <c r="DV16" s="72"/>
      <c r="DW16" s="73"/>
      <c r="DX16" s="94" t="s">
        <v>52</v>
      </c>
      <c r="DY16" s="95" t="s">
        <v>27</v>
      </c>
      <c r="DZ16" s="95" t="s">
        <v>53</v>
      </c>
      <c r="EC16" s="69"/>
      <c r="ED16" s="70"/>
      <c r="EE16" s="71"/>
      <c r="EF16" s="70"/>
      <c r="EG16" s="70"/>
      <c r="EH16" s="70"/>
      <c r="EI16" s="72"/>
      <c r="EJ16" s="73"/>
      <c r="EK16" s="94" t="s">
        <v>52</v>
      </c>
      <c r="EL16" s="95" t="s">
        <v>27</v>
      </c>
      <c r="EM16" s="95" t="s">
        <v>53</v>
      </c>
      <c r="EP16" s="69"/>
      <c r="EQ16" s="70"/>
      <c r="ER16" s="71"/>
      <c r="ES16" s="70"/>
      <c r="ET16" s="70"/>
      <c r="EU16" s="70"/>
      <c r="EV16" s="72"/>
      <c r="EW16" s="73"/>
      <c r="EX16" s="94" t="s">
        <v>52</v>
      </c>
      <c r="EY16" s="95" t="s">
        <v>27</v>
      </c>
      <c r="EZ16" s="95" t="s">
        <v>53</v>
      </c>
    </row>
    <row r="17" spans="2:156">
      <c r="B17" s="59"/>
      <c r="C17" s="60">
        <v>804</v>
      </c>
      <c r="D17" s="61">
        <v>0</v>
      </c>
      <c r="E17" s="62"/>
      <c r="F17" s="61"/>
      <c r="G17" s="61"/>
      <c r="H17" s="75"/>
      <c r="I17" s="76"/>
      <c r="J17" s="77"/>
      <c r="K17" s="77"/>
      <c r="L17" s="87"/>
      <c r="O17" s="59"/>
      <c r="P17" s="60">
        <v>284</v>
      </c>
      <c r="Q17" s="61"/>
      <c r="R17" s="62"/>
      <c r="S17" s="61"/>
      <c r="T17" s="61"/>
      <c r="U17" s="75"/>
      <c r="V17" s="76"/>
      <c r="W17" s="77"/>
      <c r="X17" s="77"/>
      <c r="Y17" s="87"/>
      <c r="AB17" s="59"/>
      <c r="AC17" s="60"/>
      <c r="AD17" s="61"/>
      <c r="AE17" s="62">
        <v>442</v>
      </c>
      <c r="AF17" s="61">
        <v>44.2</v>
      </c>
      <c r="AG17" s="61"/>
      <c r="AH17" s="75"/>
      <c r="AI17" s="76"/>
      <c r="AJ17" s="77"/>
      <c r="AK17" s="77"/>
      <c r="AL17" s="87"/>
      <c r="AO17" s="59"/>
      <c r="AP17" s="60"/>
      <c r="AQ17" s="61"/>
      <c r="AR17" s="62"/>
      <c r="AS17" s="61"/>
      <c r="AT17" s="61"/>
      <c r="AU17" s="75"/>
      <c r="AV17" s="76"/>
      <c r="AW17" s="77"/>
      <c r="AX17" s="77"/>
      <c r="AY17" s="87"/>
      <c r="BB17" s="59"/>
      <c r="BC17" s="60"/>
      <c r="BD17" s="61"/>
      <c r="BE17" s="62">
        <v>407</v>
      </c>
      <c r="BF17" s="61">
        <v>43</v>
      </c>
      <c r="BG17" s="61"/>
      <c r="BH17" s="75"/>
      <c r="BI17" s="84"/>
      <c r="BJ17" s="77"/>
      <c r="BK17" s="77"/>
      <c r="BL17" s="87"/>
      <c r="BP17" s="59"/>
      <c r="BQ17" s="60"/>
      <c r="BR17" s="61"/>
      <c r="BS17" s="62"/>
      <c r="BT17" s="61"/>
      <c r="BU17" s="61"/>
      <c r="BV17" s="75"/>
      <c r="BW17" s="76"/>
      <c r="BX17" s="77"/>
      <c r="BY17" s="77"/>
      <c r="BZ17" s="87"/>
      <c r="CC17" s="59"/>
      <c r="CD17" s="60"/>
      <c r="CE17" s="61"/>
      <c r="CF17" s="62"/>
      <c r="CG17" s="61"/>
      <c r="CH17" s="61"/>
      <c r="CI17" s="75"/>
      <c r="CJ17" s="76"/>
      <c r="CK17" s="77"/>
      <c r="CL17" s="77"/>
      <c r="CM17" s="87"/>
      <c r="CP17" s="59"/>
      <c r="CQ17" s="60"/>
      <c r="CR17" s="61"/>
      <c r="CS17" s="62"/>
      <c r="CT17" s="61"/>
      <c r="CU17" s="61"/>
      <c r="CV17" s="75"/>
      <c r="CW17" s="76"/>
      <c r="CX17" s="77"/>
      <c r="CY17" s="77"/>
      <c r="CZ17" s="87"/>
      <c r="DC17" s="59"/>
      <c r="DD17" s="60"/>
      <c r="DE17" s="61"/>
      <c r="DF17" s="62"/>
      <c r="DG17" s="61"/>
      <c r="DH17" s="61"/>
      <c r="DI17" s="75"/>
      <c r="DJ17" s="76"/>
      <c r="DK17" s="77"/>
      <c r="DL17" s="77"/>
      <c r="DM17" s="87"/>
      <c r="DP17" s="59"/>
      <c r="DQ17" s="60"/>
      <c r="DR17" s="61"/>
      <c r="DS17" s="62"/>
      <c r="DT17" s="61"/>
      <c r="DU17" s="61"/>
      <c r="DV17" s="75"/>
      <c r="DW17" s="76"/>
      <c r="DX17" s="77"/>
      <c r="DY17" s="77"/>
      <c r="DZ17" s="87"/>
      <c r="EC17" s="59"/>
      <c r="ED17" s="60"/>
      <c r="EE17" s="61"/>
      <c r="EF17" s="62"/>
      <c r="EG17" s="61"/>
      <c r="EH17" s="61"/>
      <c r="EI17" s="75"/>
      <c r="EJ17" s="76"/>
      <c r="EK17" s="77"/>
      <c r="EL17" s="77"/>
      <c r="EM17" s="87"/>
      <c r="EP17" s="59"/>
      <c r="EQ17" s="60"/>
      <c r="ER17" s="61"/>
      <c r="ES17" s="62"/>
      <c r="ET17" s="61"/>
      <c r="EU17" s="61"/>
      <c r="EV17" s="75"/>
      <c r="EW17" s="76"/>
      <c r="EX17" s="77"/>
      <c r="EY17" s="77"/>
      <c r="EZ17" s="87"/>
    </row>
    <row r="18" spans="2:156">
      <c r="B18" s="69"/>
      <c r="C18" s="70">
        <v>170</v>
      </c>
      <c r="D18" s="71"/>
      <c r="E18" s="70"/>
      <c r="F18" s="70"/>
      <c r="G18" s="70"/>
      <c r="H18" s="72"/>
      <c r="I18" s="73"/>
      <c r="J18" s="58"/>
      <c r="K18" s="58"/>
      <c r="L18" s="58"/>
      <c r="O18" s="69"/>
      <c r="P18" s="70">
        <v>178</v>
      </c>
      <c r="Q18" s="71">
        <v>28</v>
      </c>
      <c r="R18" s="70"/>
      <c r="S18" s="70"/>
      <c r="T18" s="70"/>
      <c r="U18" s="72"/>
      <c r="V18" s="73"/>
      <c r="W18" s="58"/>
      <c r="X18" s="58"/>
      <c r="Y18" s="58"/>
      <c r="AB18" s="69"/>
      <c r="AC18" s="70"/>
      <c r="AD18" s="71"/>
      <c r="AE18" s="70">
        <v>1060</v>
      </c>
      <c r="AF18" s="70">
        <v>106</v>
      </c>
      <c r="AG18" s="70"/>
      <c r="AH18" s="72"/>
      <c r="AI18" s="73"/>
      <c r="AJ18" s="58"/>
      <c r="AK18" s="58"/>
      <c r="AL18" s="58"/>
      <c r="AO18" s="96"/>
      <c r="AP18" s="97"/>
      <c r="AQ18" s="98"/>
      <c r="AR18" s="99"/>
      <c r="AS18" s="98"/>
      <c r="AT18" s="98"/>
      <c r="AU18" s="72"/>
      <c r="AV18" s="73"/>
      <c r="BB18" s="69"/>
      <c r="BC18" s="70"/>
      <c r="BD18" s="85"/>
      <c r="BE18" s="70">
        <v>1002</v>
      </c>
      <c r="BF18" s="70">
        <v>50.1</v>
      </c>
      <c r="BG18" s="70"/>
      <c r="BH18" s="72"/>
      <c r="BI18" s="73"/>
      <c r="BJ18" s="58"/>
      <c r="BK18" s="58"/>
      <c r="BL18" s="58"/>
      <c r="BP18" s="69"/>
      <c r="BQ18" s="70"/>
      <c r="BR18" s="71"/>
      <c r="BS18" s="70"/>
      <c r="BT18" s="70"/>
      <c r="BU18" s="70"/>
      <c r="BV18" s="72"/>
      <c r="BW18" s="73"/>
      <c r="BX18" s="58"/>
      <c r="BY18" s="58"/>
      <c r="BZ18" s="58"/>
      <c r="CC18" s="69"/>
      <c r="CD18" s="70"/>
      <c r="CE18" s="71"/>
      <c r="CF18" s="70"/>
      <c r="CG18" s="70"/>
      <c r="CH18" s="70"/>
      <c r="CI18" s="72"/>
      <c r="CJ18" s="73"/>
      <c r="CK18" s="58"/>
      <c r="CL18" s="58"/>
      <c r="CM18" s="58"/>
      <c r="CP18" s="69"/>
      <c r="CQ18" s="70"/>
      <c r="CR18" s="71"/>
      <c r="CS18" s="70"/>
      <c r="CT18" s="70"/>
      <c r="CU18" s="70"/>
      <c r="CV18" s="72"/>
      <c r="CW18" s="73"/>
      <c r="CX18" s="58"/>
      <c r="CY18" s="58"/>
      <c r="CZ18" s="58"/>
      <c r="DC18" s="69"/>
      <c r="DD18" s="70"/>
      <c r="DE18" s="71"/>
      <c r="DF18" s="70"/>
      <c r="DG18" s="70"/>
      <c r="DH18" s="70"/>
      <c r="DI18" s="72"/>
      <c r="DJ18" s="73"/>
      <c r="DK18" s="58"/>
      <c r="DL18" s="58"/>
      <c r="DM18" s="58"/>
      <c r="DP18" s="69"/>
      <c r="DQ18" s="70"/>
      <c r="DR18" s="71"/>
      <c r="DS18" s="70"/>
      <c r="DT18" s="70"/>
      <c r="DU18" s="70"/>
      <c r="DV18" s="72"/>
      <c r="DW18" s="73"/>
      <c r="DX18" s="58"/>
      <c r="DY18" s="58"/>
      <c r="DZ18" s="58"/>
      <c r="EC18" s="69"/>
      <c r="ED18" s="70"/>
      <c r="EE18" s="71"/>
      <c r="EF18" s="70"/>
      <c r="EG18" s="70"/>
      <c r="EH18" s="70"/>
      <c r="EI18" s="72"/>
      <c r="EJ18" s="73"/>
      <c r="EK18" s="58"/>
      <c r="EL18" s="58"/>
      <c r="EM18" s="58"/>
      <c r="EP18" s="69"/>
      <c r="EQ18" s="70"/>
      <c r="ER18" s="71"/>
      <c r="ES18" s="70"/>
      <c r="ET18" s="70"/>
      <c r="EU18" s="70"/>
      <c r="EV18" s="72"/>
      <c r="EW18" s="73"/>
      <c r="EX18" s="58"/>
      <c r="EY18" s="58"/>
      <c r="EZ18" s="58"/>
    </row>
    <row r="19" spans="2:156">
      <c r="B19" s="59"/>
      <c r="C19" s="60">
        <v>423</v>
      </c>
      <c r="D19" s="61">
        <v>47</v>
      </c>
      <c r="E19" s="62"/>
      <c r="F19" s="61"/>
      <c r="G19" s="61"/>
      <c r="H19" s="75"/>
      <c r="I19" s="76"/>
      <c r="J19" s="58"/>
      <c r="K19" s="58"/>
      <c r="L19" s="58"/>
      <c r="O19" s="59"/>
      <c r="P19" s="60">
        <v>170</v>
      </c>
      <c r="Q19" s="61">
        <v>30</v>
      </c>
      <c r="R19" s="62"/>
      <c r="S19" s="61"/>
      <c r="T19" s="61"/>
      <c r="U19" s="75"/>
      <c r="V19" s="76"/>
      <c r="W19" s="58"/>
      <c r="X19" s="58"/>
      <c r="Y19" s="58"/>
      <c r="AB19" s="59"/>
      <c r="AC19" s="60"/>
      <c r="AD19" s="61"/>
      <c r="AE19" s="62">
        <v>583</v>
      </c>
      <c r="AF19" s="61">
        <v>58.3</v>
      </c>
      <c r="AG19" s="61"/>
      <c r="AH19" s="75"/>
      <c r="AI19" s="76"/>
      <c r="AJ19" s="58"/>
      <c r="AK19" s="58"/>
      <c r="AL19" s="58"/>
      <c r="AO19" s="59"/>
      <c r="AP19" s="60"/>
      <c r="AQ19" s="61"/>
      <c r="AR19" s="62"/>
      <c r="AS19" s="61"/>
      <c r="AT19" s="61"/>
      <c r="AU19" s="75"/>
      <c r="AV19" s="76"/>
      <c r="BB19" s="59"/>
      <c r="BC19" s="60"/>
      <c r="BD19" s="61"/>
      <c r="BE19" s="62"/>
      <c r="BF19" s="61"/>
      <c r="BG19" s="61"/>
      <c r="BH19" s="75"/>
      <c r="BI19" s="76"/>
      <c r="BJ19" s="58"/>
      <c r="BK19" s="58"/>
      <c r="BL19" s="58"/>
      <c r="BP19" s="59"/>
      <c r="BQ19" s="60"/>
      <c r="BR19" s="61"/>
      <c r="BS19" s="62"/>
      <c r="BT19" s="61"/>
      <c r="BU19" s="61"/>
      <c r="BV19" s="75"/>
      <c r="BW19" s="76"/>
      <c r="BX19" s="58"/>
      <c r="BY19" s="58"/>
      <c r="BZ19" s="58"/>
      <c r="CC19" s="59"/>
      <c r="CD19" s="60"/>
      <c r="CE19" s="61"/>
      <c r="CF19" s="62"/>
      <c r="CG19" s="61"/>
      <c r="CH19" s="61"/>
      <c r="CI19" s="75"/>
      <c r="CJ19" s="76"/>
      <c r="CK19" s="58"/>
      <c r="CL19" s="58"/>
      <c r="CM19" s="58"/>
      <c r="CP19" s="59"/>
      <c r="CQ19" s="60"/>
      <c r="CR19" s="61"/>
      <c r="CS19" s="62"/>
      <c r="CT19" s="61"/>
      <c r="CU19" s="61"/>
      <c r="CV19" s="75"/>
      <c r="CW19" s="76"/>
      <c r="CX19" s="58"/>
      <c r="CY19" s="58"/>
      <c r="CZ19" s="58"/>
      <c r="DC19" s="59"/>
      <c r="DD19" s="60"/>
      <c r="DE19" s="61"/>
      <c r="DF19" s="62"/>
      <c r="DG19" s="61"/>
      <c r="DH19" s="61"/>
      <c r="DI19" s="75"/>
      <c r="DJ19" s="76"/>
      <c r="DK19" s="58"/>
      <c r="DL19" s="58"/>
      <c r="DM19" s="58"/>
      <c r="DP19" s="59"/>
      <c r="DQ19" s="60"/>
      <c r="DR19" s="61"/>
      <c r="DS19" s="62"/>
      <c r="DT19" s="61"/>
      <c r="DU19" s="61"/>
      <c r="DV19" s="75"/>
      <c r="DW19" s="76"/>
      <c r="DX19" s="58"/>
      <c r="DY19" s="58"/>
      <c r="DZ19" s="58"/>
      <c r="EC19" s="59"/>
      <c r="ED19" s="60"/>
      <c r="EE19" s="61"/>
      <c r="EF19" s="62"/>
      <c r="EG19" s="61"/>
      <c r="EH19" s="61"/>
      <c r="EI19" s="75"/>
      <c r="EJ19" s="76"/>
      <c r="EK19" s="58"/>
      <c r="EL19" s="58"/>
      <c r="EM19" s="58"/>
      <c r="EP19" s="59"/>
      <c r="EQ19" s="60"/>
      <c r="ER19" s="61"/>
      <c r="ES19" s="62"/>
      <c r="ET19" s="61"/>
      <c r="EU19" s="61"/>
      <c r="EV19" s="75"/>
      <c r="EW19" s="76"/>
      <c r="EX19" s="58"/>
      <c r="EY19" s="58"/>
      <c r="EZ19" s="58"/>
    </row>
    <row r="20" ht="15.75" spans="2:156">
      <c r="B20" s="69"/>
      <c r="C20" s="71">
        <v>64</v>
      </c>
      <c r="D20" s="71"/>
      <c r="E20" s="70"/>
      <c r="F20" s="70"/>
      <c r="G20" s="70"/>
      <c r="H20" s="72"/>
      <c r="I20" s="73"/>
      <c r="J20" s="58"/>
      <c r="K20" s="58"/>
      <c r="L20" s="58"/>
      <c r="O20" s="69"/>
      <c r="P20" s="71"/>
      <c r="Q20" s="71"/>
      <c r="R20" s="70">
        <v>966</v>
      </c>
      <c r="S20" s="70">
        <v>144.9</v>
      </c>
      <c r="T20" s="70"/>
      <c r="U20" s="72"/>
      <c r="V20" s="73"/>
      <c r="W20" s="58"/>
      <c r="X20" s="58"/>
      <c r="Y20" s="58"/>
      <c r="AB20" s="69"/>
      <c r="AC20" s="71">
        <v>157</v>
      </c>
      <c r="AD20" s="71"/>
      <c r="AE20" s="70"/>
      <c r="AF20" s="70"/>
      <c r="AG20" s="70"/>
      <c r="AH20" s="72"/>
      <c r="AI20" s="73"/>
      <c r="AJ20" s="58"/>
      <c r="AK20" s="58"/>
      <c r="AL20" s="58"/>
      <c r="AO20" s="96"/>
      <c r="AP20" s="97"/>
      <c r="AQ20" s="98"/>
      <c r="AR20" s="99"/>
      <c r="AS20" s="98"/>
      <c r="AT20" s="98"/>
      <c r="AU20" s="100"/>
      <c r="AV20" s="101"/>
      <c r="BB20" s="96"/>
      <c r="BC20" s="97"/>
      <c r="BD20" s="98"/>
      <c r="BE20" s="99"/>
      <c r="BF20" s="98"/>
      <c r="BG20" s="98"/>
      <c r="BH20" s="100"/>
      <c r="BI20" s="101"/>
      <c r="BP20" s="69"/>
      <c r="BQ20" s="71"/>
      <c r="BR20" s="71"/>
      <c r="BS20" s="70"/>
      <c r="BT20" s="70"/>
      <c r="BU20" s="70"/>
      <c r="BV20" s="72"/>
      <c r="BW20" s="73"/>
      <c r="BX20" s="58"/>
      <c r="BY20" s="58"/>
      <c r="BZ20" s="58"/>
      <c r="CC20" s="69"/>
      <c r="CD20" s="71"/>
      <c r="CE20" s="71"/>
      <c r="CF20" s="70"/>
      <c r="CG20" s="70"/>
      <c r="CH20" s="70"/>
      <c r="CI20" s="72"/>
      <c r="CJ20" s="73"/>
      <c r="CK20" s="58"/>
      <c r="CL20" s="58"/>
      <c r="CM20" s="58"/>
      <c r="CP20" s="69"/>
      <c r="CQ20" s="71"/>
      <c r="CR20" s="71"/>
      <c r="CS20" s="70"/>
      <c r="CT20" s="70"/>
      <c r="CU20" s="70"/>
      <c r="CV20" s="72"/>
      <c r="CW20" s="73"/>
      <c r="CX20" s="58"/>
      <c r="CY20" s="58"/>
      <c r="CZ20" s="58"/>
      <c r="DC20" s="69"/>
      <c r="DD20" s="71"/>
      <c r="DE20" s="71"/>
      <c r="DF20" s="70"/>
      <c r="DG20" s="70"/>
      <c r="DH20" s="70"/>
      <c r="DI20" s="72"/>
      <c r="DJ20" s="73"/>
      <c r="DK20" s="58"/>
      <c r="DL20" s="58"/>
      <c r="DM20" s="58"/>
      <c r="DP20" s="69"/>
      <c r="DQ20" s="71"/>
      <c r="DR20" s="71"/>
      <c r="DS20" s="70"/>
      <c r="DT20" s="70"/>
      <c r="DU20" s="70"/>
      <c r="DV20" s="72"/>
      <c r="DW20" s="73"/>
      <c r="DX20" s="58"/>
      <c r="DY20" s="58"/>
      <c r="DZ20" s="58"/>
      <c r="EC20" s="69"/>
      <c r="ED20" s="71"/>
      <c r="EE20" s="71"/>
      <c r="EF20" s="70"/>
      <c r="EG20" s="70"/>
      <c r="EH20" s="70"/>
      <c r="EI20" s="72"/>
      <c r="EJ20" s="73"/>
      <c r="EK20" s="58"/>
      <c r="EL20" s="58"/>
      <c r="EM20" s="58"/>
      <c r="EP20" s="69"/>
      <c r="EQ20" s="71"/>
      <c r="ER20" s="71"/>
      <c r="ES20" s="70"/>
      <c r="ET20" s="70"/>
      <c r="EU20" s="70"/>
      <c r="EV20" s="72"/>
      <c r="EW20" s="73"/>
      <c r="EX20" s="58"/>
      <c r="EY20" s="58"/>
      <c r="EZ20" s="58"/>
    </row>
    <row r="21" ht="15.75" spans="2:156">
      <c r="B21" s="59"/>
      <c r="C21" s="61">
        <v>441</v>
      </c>
      <c r="D21" s="61">
        <v>9</v>
      </c>
      <c r="E21" s="62"/>
      <c r="F21" s="61"/>
      <c r="G21" s="61"/>
      <c r="H21" s="75"/>
      <c r="I21" s="76"/>
      <c r="J21" s="58"/>
      <c r="K21" s="58"/>
      <c r="L21" s="58"/>
      <c r="O21" s="59"/>
      <c r="P21" s="61"/>
      <c r="Q21" s="61"/>
      <c r="R21" s="62">
        <v>891</v>
      </c>
      <c r="S21" s="61">
        <v>89.1</v>
      </c>
      <c r="T21" s="61"/>
      <c r="U21" s="75"/>
      <c r="V21" s="76"/>
      <c r="W21" s="58"/>
      <c r="X21" s="58"/>
      <c r="Y21" s="58"/>
      <c r="AB21" s="59"/>
      <c r="AC21" s="61"/>
      <c r="AD21" s="61"/>
      <c r="AE21" s="62">
        <v>285</v>
      </c>
      <c r="AF21" s="61">
        <v>28.5</v>
      </c>
      <c r="AG21" s="61"/>
      <c r="AH21" s="75"/>
      <c r="AI21" s="76"/>
      <c r="AJ21" s="58"/>
      <c r="AK21" s="58"/>
      <c r="AL21" s="58"/>
      <c r="AO21" s="102">
        <f t="shared" ref="AO21:AT21" si="0">SUM(AO5:AO20)</f>
        <v>818</v>
      </c>
      <c r="AP21" s="103">
        <f t="shared" si="0"/>
        <v>906</v>
      </c>
      <c r="AQ21" s="104">
        <f t="shared" si="0"/>
        <v>250</v>
      </c>
      <c r="AR21" s="105">
        <f t="shared" si="0"/>
        <v>3490</v>
      </c>
      <c r="AS21" s="106">
        <f t="shared" si="0"/>
        <v>258.5</v>
      </c>
      <c r="AT21" s="107">
        <f t="shared" si="0"/>
        <v>213</v>
      </c>
      <c r="AU21" s="108" t="s">
        <v>54</v>
      </c>
      <c r="AV21" s="109"/>
      <c r="BB21" s="102">
        <f t="shared" ref="BB21:BG21" si="1">SUM(BB5:BB20)</f>
        <v>759</v>
      </c>
      <c r="BC21" s="103">
        <f t="shared" si="1"/>
        <v>1887</v>
      </c>
      <c r="BD21" s="104">
        <f t="shared" si="1"/>
        <v>175</v>
      </c>
      <c r="BE21" s="105">
        <f t="shared" si="1"/>
        <v>4250</v>
      </c>
      <c r="BF21" s="106">
        <f t="shared" si="1"/>
        <v>359.6</v>
      </c>
      <c r="BG21" s="107">
        <f t="shared" si="1"/>
        <v>1549</v>
      </c>
      <c r="BH21" s="108" t="s">
        <v>54</v>
      </c>
      <c r="BI21" s="109"/>
      <c r="BP21" s="59"/>
      <c r="BQ21" s="61"/>
      <c r="BR21" s="61"/>
      <c r="BS21" s="62"/>
      <c r="BT21" s="61"/>
      <c r="BU21" s="61"/>
      <c r="BV21" s="75"/>
      <c r="BW21" s="76"/>
      <c r="BX21" s="58"/>
      <c r="BY21" s="58"/>
      <c r="BZ21" s="58"/>
      <c r="CC21" s="59"/>
      <c r="CD21" s="61"/>
      <c r="CE21" s="61"/>
      <c r="CF21" s="62"/>
      <c r="CG21" s="61"/>
      <c r="CH21" s="61"/>
      <c r="CI21" s="75"/>
      <c r="CJ21" s="76"/>
      <c r="CK21" s="58"/>
      <c r="CL21" s="58"/>
      <c r="CM21" s="58"/>
      <c r="CP21" s="59"/>
      <c r="CQ21" s="61"/>
      <c r="CR21" s="61"/>
      <c r="CS21" s="62"/>
      <c r="CT21" s="61"/>
      <c r="CU21" s="61"/>
      <c r="CV21" s="75"/>
      <c r="CW21" s="76"/>
      <c r="CX21" s="58"/>
      <c r="CY21" s="58"/>
      <c r="CZ21" s="58"/>
      <c r="DC21" s="59"/>
      <c r="DD21" s="61"/>
      <c r="DE21" s="61"/>
      <c r="DF21" s="62"/>
      <c r="DG21" s="61"/>
      <c r="DH21" s="61"/>
      <c r="DI21" s="75"/>
      <c r="DJ21" s="76"/>
      <c r="DK21" s="58"/>
      <c r="DL21" s="58"/>
      <c r="DM21" s="58"/>
      <c r="DP21" s="59"/>
      <c r="DQ21" s="61"/>
      <c r="DR21" s="61"/>
      <c r="DS21" s="62"/>
      <c r="DT21" s="61"/>
      <c r="DU21" s="61"/>
      <c r="DV21" s="75"/>
      <c r="DW21" s="76"/>
      <c r="DX21" s="58"/>
      <c r="DY21" s="58"/>
      <c r="DZ21" s="58"/>
      <c r="EC21" s="59"/>
      <c r="ED21" s="61"/>
      <c r="EE21" s="61"/>
      <c r="EF21" s="62"/>
      <c r="EG21" s="61"/>
      <c r="EH21" s="61"/>
      <c r="EI21" s="75"/>
      <c r="EJ21" s="76"/>
      <c r="EK21" s="58"/>
      <c r="EL21" s="58"/>
      <c r="EM21" s="58"/>
      <c r="EP21" s="59"/>
      <c r="EQ21" s="61"/>
      <c r="ER21" s="61"/>
      <c r="ES21" s="62"/>
      <c r="ET21" s="61"/>
      <c r="EU21" s="61"/>
      <c r="EV21" s="75"/>
      <c r="EW21" s="76"/>
      <c r="EX21" s="58"/>
      <c r="EY21" s="58"/>
      <c r="EZ21" s="58"/>
    </row>
    <row r="22" spans="2:156">
      <c r="B22" s="69"/>
      <c r="C22" s="70">
        <v>599</v>
      </c>
      <c r="D22" s="71">
        <v>62</v>
      </c>
      <c r="E22" s="70"/>
      <c r="F22" s="70"/>
      <c r="G22" s="70"/>
      <c r="H22" s="72"/>
      <c r="I22" s="73"/>
      <c r="J22" s="58"/>
      <c r="K22" s="58"/>
      <c r="L22" s="58"/>
      <c r="O22" s="69"/>
      <c r="P22" s="91"/>
      <c r="Q22" s="91"/>
      <c r="R22" s="110"/>
      <c r="S22" s="110"/>
      <c r="T22" s="70"/>
      <c r="U22" s="72"/>
      <c r="V22" s="73"/>
      <c r="W22" s="58"/>
      <c r="X22" s="58"/>
      <c r="Y22" s="58"/>
      <c r="AB22" s="69"/>
      <c r="AC22" s="70">
        <v>165</v>
      </c>
      <c r="AD22" s="71"/>
      <c r="AE22" s="70"/>
      <c r="AF22" s="70"/>
      <c r="AG22" s="70"/>
      <c r="AH22" s="72"/>
      <c r="AI22" s="73"/>
      <c r="AJ22" s="58"/>
      <c r="AK22" s="58"/>
      <c r="AL22" s="58"/>
      <c r="BP22" s="69"/>
      <c r="BQ22" s="70"/>
      <c r="BR22" s="71"/>
      <c r="BS22" s="70"/>
      <c r="BT22" s="70"/>
      <c r="BU22" s="70"/>
      <c r="BV22" s="72"/>
      <c r="BW22" s="73"/>
      <c r="BX22" s="58"/>
      <c r="BY22" s="58"/>
      <c r="BZ22" s="58"/>
      <c r="CC22" s="69"/>
      <c r="CD22" s="70"/>
      <c r="CE22" s="71"/>
      <c r="CF22" s="70"/>
      <c r="CG22" s="70"/>
      <c r="CH22" s="70"/>
      <c r="CI22" s="72"/>
      <c r="CJ22" s="73"/>
      <c r="CK22" s="58"/>
      <c r="CL22" s="58"/>
      <c r="CM22" s="58"/>
      <c r="CP22" s="69"/>
      <c r="CQ22" s="70"/>
      <c r="CR22" s="71"/>
      <c r="CS22" s="70"/>
      <c r="CT22" s="70"/>
      <c r="CU22" s="70"/>
      <c r="CV22" s="72"/>
      <c r="CW22" s="73"/>
      <c r="CX22" s="58"/>
      <c r="CY22" s="58"/>
      <c r="CZ22" s="58"/>
      <c r="DC22" s="69"/>
      <c r="DD22" s="70"/>
      <c r="DE22" s="71"/>
      <c r="DF22" s="70"/>
      <c r="DG22" s="70"/>
      <c r="DH22" s="70"/>
      <c r="DI22" s="72"/>
      <c r="DJ22" s="73"/>
      <c r="DK22" s="58"/>
      <c r="DL22" s="58"/>
      <c r="DM22" s="58"/>
      <c r="DP22" s="69"/>
      <c r="DQ22" s="70"/>
      <c r="DR22" s="71"/>
      <c r="DS22" s="70"/>
      <c r="DT22" s="70"/>
      <c r="DU22" s="70"/>
      <c r="DV22" s="72"/>
      <c r="DW22" s="73"/>
      <c r="DX22" s="58"/>
      <c r="DY22" s="58"/>
      <c r="DZ22" s="58"/>
      <c r="EC22" s="69"/>
      <c r="ED22" s="70"/>
      <c r="EE22" s="71"/>
      <c r="EF22" s="70"/>
      <c r="EG22" s="70"/>
      <c r="EH22" s="70"/>
      <c r="EI22" s="72"/>
      <c r="EJ22" s="73"/>
      <c r="EK22" s="58"/>
      <c r="EL22" s="58"/>
      <c r="EM22" s="58"/>
      <c r="EP22" s="69"/>
      <c r="EQ22" s="70"/>
      <c r="ER22" s="71"/>
      <c r="ES22" s="70"/>
      <c r="ET22" s="70"/>
      <c r="EU22" s="70"/>
      <c r="EV22" s="72"/>
      <c r="EW22" s="73"/>
      <c r="EX22" s="58"/>
      <c r="EY22" s="58"/>
      <c r="EZ22" s="58"/>
    </row>
    <row r="23" ht="15.75" spans="2:156">
      <c r="B23" s="59"/>
      <c r="C23" s="60"/>
      <c r="D23" s="61">
        <v>28</v>
      </c>
      <c r="E23" s="62">
        <v>706</v>
      </c>
      <c r="F23" s="61"/>
      <c r="G23" s="61"/>
      <c r="H23" s="75"/>
      <c r="I23" s="76"/>
      <c r="J23" s="58"/>
      <c r="K23" s="58"/>
      <c r="L23" s="58"/>
      <c r="O23" s="59"/>
      <c r="P23" s="61">
        <v>900</v>
      </c>
      <c r="Q23" s="61">
        <v>100</v>
      </c>
      <c r="R23" s="62"/>
      <c r="S23" s="61"/>
      <c r="T23" s="61"/>
      <c r="U23" s="75"/>
      <c r="V23" s="76"/>
      <c r="W23" s="58"/>
      <c r="X23" s="58"/>
      <c r="Y23" s="58"/>
      <c r="AB23" s="59"/>
      <c r="AC23" s="60">
        <v>225</v>
      </c>
      <c r="AD23" s="61">
        <v>45</v>
      </c>
      <c r="AE23" s="62"/>
      <c r="AF23" s="61"/>
      <c r="AG23" s="61"/>
      <c r="AH23" s="75"/>
      <c r="AI23" s="76"/>
      <c r="AJ23" s="58"/>
      <c r="AK23" s="58"/>
      <c r="AL23" s="58"/>
      <c r="BP23" s="59"/>
      <c r="BQ23" s="60"/>
      <c r="BR23" s="61"/>
      <c r="BS23" s="62"/>
      <c r="BT23" s="61"/>
      <c r="BU23" s="61"/>
      <c r="BV23" s="75"/>
      <c r="BW23" s="76"/>
      <c r="BX23" s="58"/>
      <c r="BY23" s="58"/>
      <c r="BZ23" s="58"/>
      <c r="CC23" s="59"/>
      <c r="CD23" s="60"/>
      <c r="CE23" s="61"/>
      <c r="CF23" s="62"/>
      <c r="CG23" s="61"/>
      <c r="CH23" s="61"/>
      <c r="CI23" s="75"/>
      <c r="CJ23" s="76"/>
      <c r="CK23" s="58"/>
      <c r="CL23" s="58"/>
      <c r="CM23" s="58"/>
      <c r="CP23" s="59"/>
      <c r="CQ23" s="60"/>
      <c r="CR23" s="61"/>
      <c r="CS23" s="62"/>
      <c r="CT23" s="61"/>
      <c r="CU23" s="61"/>
      <c r="CV23" s="75"/>
      <c r="CW23" s="76"/>
      <c r="CX23" s="58"/>
      <c r="CY23" s="58"/>
      <c r="CZ23" s="58"/>
      <c r="DC23" s="59"/>
      <c r="DD23" s="60"/>
      <c r="DE23" s="61"/>
      <c r="DF23" s="62"/>
      <c r="DG23" s="61"/>
      <c r="DH23" s="61"/>
      <c r="DI23" s="75"/>
      <c r="DJ23" s="76"/>
      <c r="DK23" s="58"/>
      <c r="DL23" s="58"/>
      <c r="DM23" s="58"/>
      <c r="DP23" s="59"/>
      <c r="DQ23" s="60"/>
      <c r="DR23" s="61"/>
      <c r="DS23" s="62"/>
      <c r="DT23" s="61"/>
      <c r="DU23" s="61"/>
      <c r="DV23" s="75"/>
      <c r="DW23" s="76"/>
      <c r="DX23" s="58"/>
      <c r="DY23" s="58"/>
      <c r="DZ23" s="58"/>
      <c r="EC23" s="59"/>
      <c r="ED23" s="60"/>
      <c r="EE23" s="61"/>
      <c r="EF23" s="62"/>
      <c r="EG23" s="61"/>
      <c r="EH23" s="61"/>
      <c r="EI23" s="75"/>
      <c r="EJ23" s="76"/>
      <c r="EK23" s="58"/>
      <c r="EL23" s="58"/>
      <c r="EM23" s="58"/>
      <c r="EP23" s="59"/>
      <c r="EQ23" s="60"/>
      <c r="ER23" s="61"/>
      <c r="ES23" s="62"/>
      <c r="ET23" s="61"/>
      <c r="EU23" s="61"/>
      <c r="EV23" s="75"/>
      <c r="EW23" s="76"/>
      <c r="EX23" s="58"/>
      <c r="EY23" s="58"/>
      <c r="EZ23" s="58"/>
    </row>
    <row r="24" spans="2:156">
      <c r="B24" s="69"/>
      <c r="C24" s="70">
        <v>494</v>
      </c>
      <c r="D24" s="71">
        <v>56</v>
      </c>
      <c r="E24" s="70"/>
      <c r="F24" s="70"/>
      <c r="G24" s="70"/>
      <c r="H24" s="72"/>
      <c r="I24" s="73"/>
      <c r="J24" s="58"/>
      <c r="O24" s="69"/>
      <c r="P24" s="71"/>
      <c r="Q24" s="71"/>
      <c r="R24" s="70">
        <v>698</v>
      </c>
      <c r="S24" s="70">
        <v>69.8</v>
      </c>
      <c r="T24" s="70"/>
      <c r="U24" s="72"/>
      <c r="V24" s="73"/>
      <c r="W24" s="58"/>
      <c r="AB24" s="69"/>
      <c r="AC24" s="70"/>
      <c r="AD24" s="71"/>
      <c r="AE24" s="70"/>
      <c r="AF24" s="70"/>
      <c r="AG24" s="70"/>
      <c r="AH24" s="72"/>
      <c r="AI24" s="73"/>
      <c r="AJ24" s="58"/>
      <c r="AO24" s="33" t="s">
        <v>55</v>
      </c>
      <c r="AP24" s="34"/>
      <c r="AQ24" s="34"/>
      <c r="AR24" s="34"/>
      <c r="AS24" s="34"/>
      <c r="AT24" s="34"/>
      <c r="AU24" s="34"/>
      <c r="AV24" s="34"/>
      <c r="AW24" s="34"/>
      <c r="AX24" s="34"/>
      <c r="AY24" s="35"/>
      <c r="BB24" s="33" t="s">
        <v>56</v>
      </c>
      <c r="BC24" s="34"/>
      <c r="BD24" s="34"/>
      <c r="BE24" s="34"/>
      <c r="BF24" s="34"/>
      <c r="BG24" s="34"/>
      <c r="BH24" s="34"/>
      <c r="BI24" s="34"/>
      <c r="BJ24" s="34"/>
      <c r="BK24" s="34"/>
      <c r="BL24" s="35"/>
      <c r="BP24" s="69"/>
      <c r="BQ24" s="70"/>
      <c r="BR24" s="71"/>
      <c r="BS24" s="70"/>
      <c r="BT24" s="70"/>
      <c r="BU24" s="70"/>
      <c r="BV24" s="72"/>
      <c r="BW24" s="73"/>
      <c r="BX24" s="58"/>
      <c r="CC24" s="69"/>
      <c r="CD24" s="70"/>
      <c r="CE24" s="71"/>
      <c r="CF24" s="70"/>
      <c r="CG24" s="70"/>
      <c r="CH24" s="70"/>
      <c r="CI24" s="72"/>
      <c r="CJ24" s="73"/>
      <c r="CK24" s="58"/>
      <c r="CP24" s="69"/>
      <c r="CQ24" s="70"/>
      <c r="CR24" s="71"/>
      <c r="CS24" s="70"/>
      <c r="CT24" s="70"/>
      <c r="CU24" s="70"/>
      <c r="CV24" s="72"/>
      <c r="CW24" s="73"/>
      <c r="CX24" s="58"/>
      <c r="DC24" s="69"/>
      <c r="DD24" s="70"/>
      <c r="DE24" s="71"/>
      <c r="DF24" s="70"/>
      <c r="DG24" s="70"/>
      <c r="DH24" s="70"/>
      <c r="DI24" s="72"/>
      <c r="DJ24" s="73"/>
      <c r="DK24" s="58"/>
      <c r="DP24" s="69"/>
      <c r="DQ24" s="70"/>
      <c r="DR24" s="71"/>
      <c r="DS24" s="70"/>
      <c r="DT24" s="70"/>
      <c r="DU24" s="70"/>
      <c r="DV24" s="72"/>
      <c r="DW24" s="73"/>
      <c r="DX24" s="58"/>
      <c r="EC24" s="69"/>
      <c r="ED24" s="70"/>
      <c r="EE24" s="71"/>
      <c r="EF24" s="70"/>
      <c r="EG24" s="70"/>
      <c r="EH24" s="70"/>
      <c r="EI24" s="72"/>
      <c r="EJ24" s="73"/>
      <c r="EK24" s="58"/>
      <c r="EP24" s="69"/>
      <c r="EQ24" s="70"/>
      <c r="ER24" s="71"/>
      <c r="ES24" s="70"/>
      <c r="ET24" s="70"/>
      <c r="EU24" s="70"/>
      <c r="EV24" s="72"/>
      <c r="EW24" s="73"/>
      <c r="EX24" s="58"/>
    </row>
    <row r="25" ht="15.75" spans="2:156">
      <c r="B25" s="59"/>
      <c r="C25" s="60">
        <v>500</v>
      </c>
      <c r="D25" s="61">
        <v>70</v>
      </c>
      <c r="E25" s="62"/>
      <c r="F25" s="61"/>
      <c r="G25" s="61"/>
      <c r="H25" s="75"/>
      <c r="I25" s="76"/>
      <c r="J25" s="58"/>
      <c r="O25" s="59"/>
      <c r="P25" s="61"/>
      <c r="Q25" s="61"/>
      <c r="R25" s="62">
        <v>230</v>
      </c>
      <c r="S25" s="61">
        <v>23</v>
      </c>
      <c r="T25" s="61"/>
      <c r="U25" s="75"/>
      <c r="V25" s="76"/>
      <c r="W25" s="58"/>
      <c r="AB25" s="59"/>
      <c r="AC25" s="60"/>
      <c r="AD25" s="61"/>
      <c r="AE25" s="62"/>
      <c r="AF25" s="61"/>
      <c r="AG25" s="61"/>
      <c r="AH25" s="75"/>
      <c r="AI25" s="76"/>
      <c r="AJ25" s="58"/>
      <c r="AO25" s="36"/>
      <c r="AP25" s="37"/>
      <c r="AQ25" s="37"/>
      <c r="AR25" s="37"/>
      <c r="AS25" s="37"/>
      <c r="AT25" s="37"/>
      <c r="AU25" s="37"/>
      <c r="AV25" s="37"/>
      <c r="AW25" s="37"/>
      <c r="AX25" s="37"/>
      <c r="AY25" s="38"/>
      <c r="BB25" s="36"/>
      <c r="BC25" s="37"/>
      <c r="BD25" s="37"/>
      <c r="BE25" s="37"/>
      <c r="BF25" s="37"/>
      <c r="BG25" s="37"/>
      <c r="BH25" s="37"/>
      <c r="BI25" s="37"/>
      <c r="BJ25" s="37"/>
      <c r="BK25" s="37"/>
      <c r="BL25" s="38"/>
      <c r="BP25" s="59"/>
      <c r="BQ25" s="60"/>
      <c r="BR25" s="61"/>
      <c r="BS25" s="62"/>
      <c r="BT25" s="61"/>
      <c r="BU25" s="61"/>
      <c r="BV25" s="75"/>
      <c r="BW25" s="76"/>
      <c r="BX25" s="58"/>
      <c r="CC25" s="59"/>
      <c r="CD25" s="60"/>
      <c r="CE25" s="61"/>
      <c r="CF25" s="62"/>
      <c r="CG25" s="61"/>
      <c r="CH25" s="61"/>
      <c r="CI25" s="75"/>
      <c r="CJ25" s="76"/>
      <c r="CK25" s="58"/>
      <c r="CP25" s="59"/>
      <c r="CQ25" s="60"/>
      <c r="CR25" s="61"/>
      <c r="CS25" s="62"/>
      <c r="CT25" s="61"/>
      <c r="CU25" s="61"/>
      <c r="CV25" s="75"/>
      <c r="CW25" s="76"/>
      <c r="CX25" s="58"/>
      <c r="DC25" s="59"/>
      <c r="DD25" s="60"/>
      <c r="DE25" s="61"/>
      <c r="DF25" s="62"/>
      <c r="DG25" s="61"/>
      <c r="DH25" s="61"/>
      <c r="DI25" s="75"/>
      <c r="DJ25" s="76"/>
      <c r="DK25" s="58"/>
      <c r="DP25" s="59"/>
      <c r="DQ25" s="60"/>
      <c r="DR25" s="61"/>
      <c r="DS25" s="62"/>
      <c r="DT25" s="61"/>
      <c r="DU25" s="61"/>
      <c r="DV25" s="75"/>
      <c r="DW25" s="76"/>
      <c r="DX25" s="58"/>
      <c r="EC25" s="59"/>
      <c r="ED25" s="60"/>
      <c r="EE25" s="61"/>
      <c r="EF25" s="62"/>
      <c r="EG25" s="61"/>
      <c r="EH25" s="61"/>
      <c r="EI25" s="75"/>
      <c r="EJ25" s="76"/>
      <c r="EK25" s="58"/>
      <c r="EP25" s="59"/>
      <c r="EQ25" s="60"/>
      <c r="ER25" s="61"/>
      <c r="ES25" s="62"/>
      <c r="ET25" s="61"/>
      <c r="EU25" s="61"/>
      <c r="EV25" s="75"/>
      <c r="EW25" s="76"/>
      <c r="EX25" s="58"/>
    </row>
    <row r="26" ht="15.75" spans="2:156">
      <c r="B26" s="69"/>
      <c r="C26" s="70"/>
      <c r="D26" s="71"/>
      <c r="E26" s="70">
        <v>1613</v>
      </c>
      <c r="F26" s="70">
        <v>161.3</v>
      </c>
      <c r="G26" s="70"/>
      <c r="H26" s="72"/>
      <c r="I26" s="73"/>
      <c r="J26" s="58"/>
      <c r="O26" s="69"/>
      <c r="P26" s="71"/>
      <c r="Q26" s="71"/>
      <c r="R26" s="70">
        <v>367</v>
      </c>
      <c r="S26" s="70">
        <v>36.7</v>
      </c>
      <c r="T26" s="70"/>
      <c r="U26" s="72"/>
      <c r="V26" s="73"/>
      <c r="W26" s="58"/>
      <c r="AB26" s="69"/>
      <c r="AC26" s="70"/>
      <c r="AD26" s="71"/>
      <c r="AE26" s="70"/>
      <c r="AF26" s="70"/>
      <c r="AG26" s="70"/>
      <c r="AH26" s="72"/>
      <c r="AI26" s="73"/>
      <c r="AJ26" s="58"/>
      <c r="AO26" s="39" t="s">
        <v>12</v>
      </c>
      <c r="AP26" s="40" t="s">
        <v>13</v>
      </c>
      <c r="AQ26" s="41"/>
      <c r="AR26" s="42" t="s">
        <v>14</v>
      </c>
      <c r="AS26" s="43"/>
      <c r="AT26" s="44" t="s">
        <v>15</v>
      </c>
      <c r="AU26" s="45"/>
      <c r="AV26" s="46"/>
      <c r="AW26" s="47" t="s">
        <v>16</v>
      </c>
      <c r="AX26" s="48"/>
      <c r="AY26" s="49">
        <f>AP54+AR54</f>
        <v>8793</v>
      </c>
      <c r="BB26" s="39" t="s">
        <v>12</v>
      </c>
      <c r="BC26" s="40" t="s">
        <v>13</v>
      </c>
      <c r="BD26" s="41"/>
      <c r="BE26" s="42" t="s">
        <v>14</v>
      </c>
      <c r="BF26" s="43"/>
      <c r="BG26" s="44" t="s">
        <v>15</v>
      </c>
      <c r="BH26" s="45"/>
      <c r="BI26" s="46"/>
      <c r="BJ26" s="47" t="s">
        <v>16</v>
      </c>
      <c r="BK26" s="48"/>
      <c r="BL26" s="49">
        <f>BC50+BE50</f>
        <v>5729</v>
      </c>
      <c r="BP26" s="69"/>
      <c r="BQ26" s="70"/>
      <c r="BR26" s="71"/>
      <c r="BS26" s="70"/>
      <c r="BT26" s="70"/>
      <c r="BU26" s="70"/>
      <c r="BV26" s="72"/>
      <c r="BW26" s="73"/>
      <c r="BX26" s="58"/>
      <c r="CC26" s="69"/>
      <c r="CD26" s="70"/>
      <c r="CE26" s="71"/>
      <c r="CF26" s="70"/>
      <c r="CG26" s="70"/>
      <c r="CH26" s="70"/>
      <c r="CI26" s="72"/>
      <c r="CJ26" s="73"/>
      <c r="CK26" s="58"/>
      <c r="CP26" s="69"/>
      <c r="CQ26" s="70"/>
      <c r="CR26" s="71"/>
      <c r="CS26" s="70"/>
      <c r="CT26" s="70"/>
      <c r="CU26" s="70"/>
      <c r="CV26" s="72"/>
      <c r="CW26" s="73"/>
      <c r="CX26" s="58"/>
      <c r="DC26" s="69"/>
      <c r="DD26" s="70"/>
      <c r="DE26" s="71"/>
      <c r="DF26" s="70"/>
      <c r="DG26" s="70"/>
      <c r="DH26" s="70"/>
      <c r="DI26" s="72"/>
      <c r="DJ26" s="73"/>
      <c r="DK26" s="58"/>
      <c r="DP26" s="69"/>
      <c r="DQ26" s="70"/>
      <c r="DR26" s="71"/>
      <c r="DS26" s="70"/>
      <c r="DT26" s="70"/>
      <c r="DU26" s="70"/>
      <c r="DV26" s="72"/>
      <c r="DW26" s="73"/>
      <c r="DX26" s="58"/>
      <c r="EC26" s="69"/>
      <c r="ED26" s="70"/>
      <c r="EE26" s="71"/>
      <c r="EF26" s="70"/>
      <c r="EG26" s="70"/>
      <c r="EH26" s="70"/>
      <c r="EI26" s="72"/>
      <c r="EJ26" s="73"/>
      <c r="EK26" s="58"/>
      <c r="EP26" s="69"/>
      <c r="EQ26" s="70"/>
      <c r="ER26" s="71"/>
      <c r="ES26" s="70"/>
      <c r="ET26" s="70"/>
      <c r="EU26" s="70"/>
      <c r="EV26" s="72"/>
      <c r="EW26" s="73"/>
      <c r="EX26" s="58"/>
    </row>
    <row r="27" ht="15.75" spans="2:156">
      <c r="B27" s="59"/>
      <c r="C27" s="60"/>
      <c r="D27" s="61">
        <v>50</v>
      </c>
      <c r="E27" s="62">
        <v>519</v>
      </c>
      <c r="F27" s="61"/>
      <c r="G27" s="61"/>
      <c r="H27" s="75"/>
      <c r="I27" s="76"/>
      <c r="J27" s="58"/>
      <c r="O27" s="59"/>
      <c r="P27" s="61">
        <v>353</v>
      </c>
      <c r="Q27" s="61">
        <v>40.5</v>
      </c>
      <c r="R27" s="62"/>
      <c r="S27" s="61"/>
      <c r="T27" s="61"/>
      <c r="U27" s="75"/>
      <c r="V27" s="76"/>
      <c r="W27" s="58"/>
      <c r="AB27" s="59"/>
      <c r="AC27" s="60"/>
      <c r="AD27" s="61"/>
      <c r="AE27" s="62"/>
      <c r="AF27" s="61"/>
      <c r="AG27" s="61"/>
      <c r="AH27" s="75"/>
      <c r="AI27" s="76"/>
      <c r="AO27" s="50"/>
      <c r="AP27" s="51" t="s">
        <v>17</v>
      </c>
      <c r="AQ27" s="51" t="s">
        <v>18</v>
      </c>
      <c r="AR27" s="52" t="s">
        <v>17</v>
      </c>
      <c r="AS27" s="52" t="s">
        <v>18</v>
      </c>
      <c r="AT27" s="53"/>
      <c r="AU27" s="54"/>
      <c r="AV27" s="55"/>
      <c r="AW27" s="56" t="s">
        <v>19</v>
      </c>
      <c r="AX27" s="57"/>
      <c r="AY27" s="49">
        <f>AQ54+AS54</f>
        <v>927</v>
      </c>
      <c r="BB27" s="50"/>
      <c r="BC27" s="51" t="s">
        <v>17</v>
      </c>
      <c r="BD27" s="51" t="s">
        <v>18</v>
      </c>
      <c r="BE27" s="52" t="s">
        <v>17</v>
      </c>
      <c r="BF27" s="52" t="s">
        <v>18</v>
      </c>
      <c r="BG27" s="53"/>
      <c r="BH27" s="54"/>
      <c r="BI27" s="55"/>
      <c r="BJ27" s="56" t="s">
        <v>19</v>
      </c>
      <c r="BK27" s="57"/>
      <c r="BL27" s="49">
        <f>BD50+BF50</f>
        <v>561</v>
      </c>
      <c r="BP27" s="59"/>
      <c r="BQ27" s="60"/>
      <c r="BR27" s="61"/>
      <c r="BS27" s="62"/>
      <c r="BT27" s="61"/>
      <c r="BU27" s="61"/>
      <c r="BV27" s="75"/>
      <c r="BW27" s="76"/>
      <c r="BX27" s="58"/>
      <c r="CC27" s="59"/>
      <c r="CD27" s="60"/>
      <c r="CE27" s="61"/>
      <c r="CF27" s="62"/>
      <c r="CG27" s="61"/>
      <c r="CH27" s="61"/>
      <c r="CI27" s="75"/>
      <c r="CJ27" s="76"/>
      <c r="CK27" s="58"/>
      <c r="CP27" s="59"/>
      <c r="CQ27" s="60"/>
      <c r="CR27" s="61"/>
      <c r="CS27" s="62"/>
      <c r="CT27" s="61"/>
      <c r="CU27" s="61"/>
      <c r="CV27" s="75"/>
      <c r="CW27" s="76"/>
      <c r="CX27" s="58"/>
      <c r="DC27" s="59"/>
      <c r="DD27" s="60"/>
      <c r="DE27" s="61"/>
      <c r="DF27" s="62"/>
      <c r="DG27" s="61"/>
      <c r="DH27" s="61"/>
      <c r="DI27" s="75"/>
      <c r="DJ27" s="76"/>
      <c r="DK27" s="58"/>
      <c r="DP27" s="59"/>
      <c r="DQ27" s="60"/>
      <c r="DR27" s="61"/>
      <c r="DS27" s="62"/>
      <c r="DT27" s="61"/>
      <c r="DU27" s="61"/>
      <c r="DV27" s="75"/>
      <c r="DW27" s="76"/>
      <c r="DX27" s="58"/>
      <c r="EC27" s="59"/>
      <c r="ED27" s="60"/>
      <c r="EE27" s="61"/>
      <c r="EF27" s="62"/>
      <c r="EG27" s="61"/>
      <c r="EH27" s="61"/>
      <c r="EI27" s="75"/>
      <c r="EJ27" s="76"/>
      <c r="EK27" s="58"/>
      <c r="EP27" s="59"/>
      <c r="EQ27" s="60"/>
      <c r="ER27" s="61"/>
      <c r="ES27" s="62"/>
      <c r="ET27" s="61"/>
      <c r="EU27" s="61"/>
      <c r="EV27" s="75"/>
      <c r="EW27" s="76"/>
      <c r="EX27" s="58"/>
    </row>
    <row r="28" ht="15.75" spans="2:156">
      <c r="B28" s="69"/>
      <c r="C28" s="70">
        <v>377</v>
      </c>
      <c r="D28" s="71">
        <v>33</v>
      </c>
      <c r="E28" s="70"/>
      <c r="F28" s="70"/>
      <c r="G28" s="70"/>
      <c r="H28" s="72"/>
      <c r="I28" s="73"/>
      <c r="J28" s="58"/>
      <c r="O28" s="69"/>
      <c r="P28" s="71"/>
      <c r="Q28" s="71"/>
      <c r="R28" s="70">
        <v>433</v>
      </c>
      <c r="S28" s="70">
        <v>43.3</v>
      </c>
      <c r="T28" s="70"/>
      <c r="U28" s="72"/>
      <c r="V28" s="73"/>
      <c r="W28" s="58"/>
      <c r="AB28" s="96"/>
      <c r="AC28" s="97"/>
      <c r="AD28" s="98"/>
      <c r="AE28" s="99"/>
      <c r="AF28" s="98"/>
      <c r="AG28" s="98"/>
      <c r="AH28" s="100"/>
      <c r="AI28" s="101"/>
      <c r="AO28" s="59">
        <v>1761</v>
      </c>
      <c r="AP28" s="68">
        <v>25</v>
      </c>
      <c r="AQ28" s="61"/>
      <c r="AR28" s="62"/>
      <c r="AS28" s="61"/>
      <c r="AT28" s="61">
        <v>182</v>
      </c>
      <c r="AU28" s="63" t="s">
        <v>57</v>
      </c>
      <c r="AV28" s="64"/>
      <c r="AW28" s="65" t="s">
        <v>21</v>
      </c>
      <c r="AX28" s="66"/>
      <c r="AY28" s="67">
        <f>AT54</f>
        <v>730</v>
      </c>
      <c r="BB28" s="59">
        <v>572</v>
      </c>
      <c r="BC28" s="68"/>
      <c r="BD28" s="61"/>
      <c r="BE28" s="62">
        <v>1074</v>
      </c>
      <c r="BF28" s="61">
        <v>53.7</v>
      </c>
      <c r="BG28" s="61">
        <v>38</v>
      </c>
      <c r="BH28" s="63" t="s">
        <v>58</v>
      </c>
      <c r="BI28" s="64"/>
      <c r="BJ28" s="65" t="s">
        <v>21</v>
      </c>
      <c r="BK28" s="66"/>
      <c r="BL28" s="67">
        <f>BG50</f>
        <v>511</v>
      </c>
      <c r="BP28" s="69"/>
      <c r="BQ28" s="70"/>
      <c r="BR28" s="71"/>
      <c r="BS28" s="70"/>
      <c r="BT28" s="70"/>
      <c r="BU28" s="70"/>
      <c r="BV28" s="72"/>
      <c r="BW28" s="73"/>
      <c r="BX28" s="58"/>
      <c r="CC28" s="69"/>
      <c r="CD28" s="70"/>
      <c r="CE28" s="71"/>
      <c r="CF28" s="70"/>
      <c r="CG28" s="70"/>
      <c r="CH28" s="70"/>
      <c r="CI28" s="72"/>
      <c r="CJ28" s="73"/>
      <c r="CK28" s="58"/>
      <c r="CP28" s="69"/>
      <c r="CQ28" s="70"/>
      <c r="CR28" s="71"/>
      <c r="CS28" s="70"/>
      <c r="CT28" s="70"/>
      <c r="CU28" s="70"/>
      <c r="CV28" s="72"/>
      <c r="CW28" s="73"/>
      <c r="CX28" s="58"/>
      <c r="DC28" s="69"/>
      <c r="DD28" s="70"/>
      <c r="DE28" s="71"/>
      <c r="DF28" s="70"/>
      <c r="DG28" s="70"/>
      <c r="DH28" s="70"/>
      <c r="DI28" s="72"/>
      <c r="DJ28" s="73"/>
      <c r="DK28" s="58"/>
      <c r="DP28" s="69"/>
      <c r="DQ28" s="70"/>
      <c r="DR28" s="71"/>
      <c r="DS28" s="70"/>
      <c r="DT28" s="70"/>
      <c r="DU28" s="70"/>
      <c r="DV28" s="72"/>
      <c r="DW28" s="73"/>
      <c r="DX28" s="58"/>
      <c r="EC28" s="69"/>
      <c r="ED28" s="70"/>
      <c r="EE28" s="71"/>
      <c r="EF28" s="70"/>
      <c r="EG28" s="70"/>
      <c r="EH28" s="70"/>
      <c r="EI28" s="72"/>
      <c r="EJ28" s="73"/>
      <c r="EK28" s="58"/>
      <c r="EP28" s="69"/>
      <c r="EQ28" s="70"/>
      <c r="ER28" s="71"/>
      <c r="ES28" s="70"/>
      <c r="ET28" s="70"/>
      <c r="EU28" s="70"/>
      <c r="EV28" s="72"/>
      <c r="EW28" s="73"/>
      <c r="EX28" s="58"/>
    </row>
    <row r="29" ht="15.75" spans="2:156">
      <c r="B29" s="59"/>
      <c r="C29" s="60">
        <v>60</v>
      </c>
      <c r="D29" s="61"/>
      <c r="E29" s="62"/>
      <c r="F29" s="61"/>
      <c r="G29" s="61"/>
      <c r="H29" s="75"/>
      <c r="I29" s="76"/>
      <c r="J29" s="58"/>
      <c r="O29" s="59"/>
      <c r="P29" s="61">
        <v>8</v>
      </c>
      <c r="Q29" s="61"/>
      <c r="R29" s="62"/>
      <c r="S29" s="61"/>
      <c r="T29" s="61"/>
      <c r="U29" s="75"/>
      <c r="V29" s="76"/>
      <c r="W29" s="58"/>
      <c r="AB29" s="102">
        <f t="shared" ref="AB29:AG29" si="2">SUM(AB5:AB28)</f>
        <v>4061</v>
      </c>
      <c r="AC29" s="103">
        <f t="shared" si="2"/>
        <v>1712</v>
      </c>
      <c r="AD29" s="104">
        <f t="shared" si="2"/>
        <v>236</v>
      </c>
      <c r="AE29" s="105">
        <f t="shared" si="2"/>
        <v>4699</v>
      </c>
      <c r="AF29" s="106">
        <f t="shared" si="2"/>
        <v>438.95</v>
      </c>
      <c r="AG29" s="107">
        <f t="shared" si="2"/>
        <v>5606.5</v>
      </c>
      <c r="AH29" s="108" t="s">
        <v>54</v>
      </c>
      <c r="AI29" s="109"/>
      <c r="AO29" s="69"/>
      <c r="AP29" s="70">
        <v>527</v>
      </c>
      <c r="AQ29" s="71">
        <v>53</v>
      </c>
      <c r="AR29" s="70"/>
      <c r="AS29" s="70"/>
      <c r="AT29" s="70">
        <v>280</v>
      </c>
      <c r="AU29" s="72" t="s">
        <v>59</v>
      </c>
      <c r="AV29" s="73"/>
      <c r="AW29" s="74" t="s">
        <v>26</v>
      </c>
      <c r="AX29" s="57"/>
      <c r="AY29" s="49">
        <f>AO54+AY26+AY27-AY28-AR54-AS54</f>
        <v>5770</v>
      </c>
      <c r="BB29" s="69"/>
      <c r="BC29" s="70">
        <v>15</v>
      </c>
      <c r="BD29" s="71"/>
      <c r="BE29" s="70"/>
      <c r="BF29" s="70"/>
      <c r="BG29" s="70">
        <v>60</v>
      </c>
      <c r="BH29" s="72" t="s">
        <v>29</v>
      </c>
      <c r="BI29" s="73"/>
      <c r="BJ29" s="74" t="s">
        <v>26</v>
      </c>
      <c r="BK29" s="57"/>
      <c r="BL29" s="49">
        <f>BB50+BL26+BL27-BL28-BE50-BF50</f>
        <v>3345</v>
      </c>
      <c r="BP29" s="59"/>
      <c r="BQ29" s="60"/>
      <c r="BR29" s="61"/>
      <c r="BS29" s="62"/>
      <c r="BT29" s="61"/>
      <c r="BU29" s="61"/>
      <c r="BV29" s="75"/>
      <c r="BW29" s="76"/>
      <c r="BX29" s="58"/>
      <c r="CC29" s="59"/>
      <c r="CD29" s="60"/>
      <c r="CE29" s="61"/>
      <c r="CF29" s="62"/>
      <c r="CG29" s="61"/>
      <c r="CH29" s="61"/>
      <c r="CI29" s="75"/>
      <c r="CJ29" s="76"/>
      <c r="CK29" s="58"/>
      <c r="CP29" s="59"/>
      <c r="CQ29" s="60"/>
      <c r="CR29" s="61"/>
      <c r="CS29" s="62"/>
      <c r="CT29" s="61"/>
      <c r="CU29" s="61"/>
      <c r="CV29" s="75"/>
      <c r="CW29" s="76"/>
      <c r="CX29" s="58"/>
      <c r="DC29" s="59"/>
      <c r="DD29" s="60"/>
      <c r="DE29" s="61"/>
      <c r="DF29" s="62"/>
      <c r="DG29" s="61"/>
      <c r="DH29" s="61"/>
      <c r="DI29" s="75"/>
      <c r="DJ29" s="76"/>
      <c r="DK29" s="58"/>
      <c r="DP29" s="59"/>
      <c r="DQ29" s="60"/>
      <c r="DR29" s="61"/>
      <c r="DS29" s="62"/>
      <c r="DT29" s="61"/>
      <c r="DU29" s="61"/>
      <c r="DV29" s="75"/>
      <c r="DW29" s="76"/>
      <c r="DX29" s="58"/>
      <c r="EC29" s="59"/>
      <c r="ED29" s="60"/>
      <c r="EE29" s="61"/>
      <c r="EF29" s="62"/>
      <c r="EG29" s="61"/>
      <c r="EH29" s="61"/>
      <c r="EI29" s="75"/>
      <c r="EJ29" s="76"/>
      <c r="EK29" s="58"/>
      <c r="EP29" s="59"/>
      <c r="EQ29" s="60"/>
      <c r="ER29" s="61"/>
      <c r="ES29" s="62"/>
      <c r="ET29" s="61"/>
      <c r="EU29" s="61"/>
      <c r="EV29" s="75"/>
      <c r="EW29" s="76"/>
      <c r="EX29" s="58"/>
    </row>
    <row r="30" spans="2:156">
      <c r="B30" s="69"/>
      <c r="C30" s="70"/>
      <c r="D30" s="71"/>
      <c r="E30" s="70">
        <v>961</v>
      </c>
      <c r="F30" s="70">
        <v>96.1</v>
      </c>
      <c r="G30" s="70"/>
      <c r="H30" s="72"/>
      <c r="I30" s="73"/>
      <c r="J30" s="58"/>
      <c r="O30" s="69"/>
      <c r="P30" s="71">
        <v>8</v>
      </c>
      <c r="Q30" s="71"/>
      <c r="R30" s="70"/>
      <c r="S30" s="70"/>
      <c r="T30" s="70"/>
      <c r="U30" s="72"/>
      <c r="V30" s="73"/>
      <c r="W30" s="58"/>
      <c r="AH30" s="111"/>
      <c r="AI30" s="111"/>
      <c r="AO30" s="59"/>
      <c r="AP30" s="60"/>
      <c r="AQ30" s="61"/>
      <c r="AR30" s="62">
        <v>805</v>
      </c>
      <c r="AS30" s="61">
        <v>80.5</v>
      </c>
      <c r="AT30" s="61">
        <v>30</v>
      </c>
      <c r="AU30" s="75" t="s">
        <v>29</v>
      </c>
      <c r="AV30" s="76"/>
      <c r="AW30" s="77"/>
      <c r="AX30" s="78" t="s">
        <v>30</v>
      </c>
      <c r="AY30" s="79">
        <f>AY27/4</f>
        <v>231.75</v>
      </c>
      <c r="BB30" s="59"/>
      <c r="BC30" s="60">
        <v>104</v>
      </c>
      <c r="BD30" s="61"/>
      <c r="BE30" s="62"/>
      <c r="BF30" s="61"/>
      <c r="BG30" s="61">
        <v>30</v>
      </c>
      <c r="BH30" s="75" t="s">
        <v>60</v>
      </c>
      <c r="BI30" s="76"/>
      <c r="BJ30" s="77"/>
      <c r="BK30" s="78" t="s">
        <v>30</v>
      </c>
      <c r="BL30" s="79">
        <f>BL27/4</f>
        <v>140.25</v>
      </c>
      <c r="BP30" s="69"/>
      <c r="BQ30" s="70"/>
      <c r="BR30" s="71"/>
      <c r="BS30" s="70"/>
      <c r="BT30" s="70"/>
      <c r="BU30" s="70"/>
      <c r="BV30" s="72"/>
      <c r="BW30" s="73"/>
      <c r="BX30" s="58"/>
      <c r="CC30" s="69"/>
      <c r="CD30" s="70"/>
      <c r="CE30" s="71"/>
      <c r="CF30" s="70"/>
      <c r="CG30" s="70"/>
      <c r="CH30" s="70"/>
      <c r="CI30" s="72"/>
      <c r="CJ30" s="73"/>
      <c r="CK30" s="58"/>
      <c r="CP30" s="69"/>
      <c r="CQ30" s="70"/>
      <c r="CR30" s="71"/>
      <c r="CS30" s="70"/>
      <c r="CT30" s="70"/>
      <c r="CU30" s="70"/>
      <c r="CV30" s="72"/>
      <c r="CW30" s="73"/>
      <c r="CX30" s="58"/>
      <c r="DC30" s="69"/>
      <c r="DD30" s="70"/>
      <c r="DE30" s="71"/>
      <c r="DF30" s="70"/>
      <c r="DG30" s="70"/>
      <c r="DH30" s="70"/>
      <c r="DI30" s="72"/>
      <c r="DJ30" s="73"/>
      <c r="DK30" s="58"/>
      <c r="DP30" s="69"/>
      <c r="DQ30" s="70"/>
      <c r="DR30" s="71"/>
      <c r="DS30" s="70"/>
      <c r="DT30" s="70"/>
      <c r="DU30" s="70"/>
      <c r="DV30" s="72"/>
      <c r="DW30" s="73"/>
      <c r="DX30" s="58"/>
      <c r="EC30" s="69"/>
      <c r="ED30" s="70"/>
      <c r="EE30" s="71"/>
      <c r="EF30" s="70"/>
      <c r="EG30" s="70"/>
      <c r="EH30" s="70"/>
      <c r="EI30" s="72"/>
      <c r="EJ30" s="73"/>
      <c r="EK30" s="58"/>
      <c r="EP30" s="69"/>
      <c r="EQ30" s="70"/>
      <c r="ER30" s="71"/>
      <c r="ES30" s="70"/>
      <c r="ET30" s="70"/>
      <c r="EU30" s="70"/>
      <c r="EV30" s="72"/>
      <c r="EW30" s="73"/>
      <c r="EX30" s="58"/>
    </row>
    <row r="31" ht="15.75" spans="2:156">
      <c r="B31" s="59"/>
      <c r="C31" s="60">
        <v>10</v>
      </c>
      <c r="D31" s="61"/>
      <c r="E31" s="62"/>
      <c r="F31" s="61"/>
      <c r="G31" s="61"/>
      <c r="H31" s="75"/>
      <c r="I31" s="76"/>
      <c r="J31" s="58"/>
      <c r="O31" s="59"/>
      <c r="P31" s="61">
        <v>295</v>
      </c>
      <c r="Q31" s="61">
        <v>30</v>
      </c>
      <c r="R31" s="62"/>
      <c r="S31" s="61"/>
      <c r="T31" s="61"/>
      <c r="U31" s="75"/>
      <c r="V31" s="76"/>
      <c r="W31" s="58"/>
      <c r="AO31" s="69"/>
      <c r="AP31" s="70">
        <v>480</v>
      </c>
      <c r="AQ31" s="71">
        <v>55</v>
      </c>
      <c r="AR31" s="70"/>
      <c r="AS31" s="70"/>
      <c r="AT31" s="70">
        <v>82</v>
      </c>
      <c r="AU31" s="72" t="s">
        <v>61</v>
      </c>
      <c r="AV31" s="73"/>
      <c r="AW31" s="77"/>
      <c r="AX31" s="80" t="s">
        <v>34</v>
      </c>
      <c r="AY31" s="81">
        <f>AY27/6</f>
        <v>154.5</v>
      </c>
      <c r="BB31" s="69"/>
      <c r="BC31" s="70">
        <v>172</v>
      </c>
      <c r="BD31" s="71">
        <v>50</v>
      </c>
      <c r="BE31" s="70">
        <v>374</v>
      </c>
      <c r="BF31" s="70">
        <v>34.7</v>
      </c>
      <c r="BG31" s="70">
        <v>383</v>
      </c>
      <c r="BH31" s="72" t="s">
        <v>39</v>
      </c>
      <c r="BI31" s="73"/>
      <c r="BJ31" s="77"/>
      <c r="BK31" s="80" t="s">
        <v>34</v>
      </c>
      <c r="BL31" s="81">
        <f>BL27/6</f>
        <v>93.5</v>
      </c>
      <c r="BP31" s="59"/>
      <c r="BQ31" s="60"/>
      <c r="BR31" s="61"/>
      <c r="BS31" s="62"/>
      <c r="BT31" s="61"/>
      <c r="BU31" s="61"/>
      <c r="BV31" s="75"/>
      <c r="BW31" s="76"/>
      <c r="BX31" s="58"/>
      <c r="CC31" s="59"/>
      <c r="CD31" s="60"/>
      <c r="CE31" s="61"/>
      <c r="CF31" s="62"/>
      <c r="CG31" s="61"/>
      <c r="CH31" s="61"/>
      <c r="CI31" s="75"/>
      <c r="CJ31" s="76"/>
      <c r="CK31" s="58"/>
      <c r="CP31" s="59"/>
      <c r="CQ31" s="60"/>
      <c r="CR31" s="61"/>
      <c r="CS31" s="62"/>
      <c r="CT31" s="61"/>
      <c r="CU31" s="61"/>
      <c r="CV31" s="75"/>
      <c r="CW31" s="76"/>
      <c r="CX31" s="58"/>
      <c r="DC31" s="59"/>
      <c r="DD31" s="60"/>
      <c r="DE31" s="61"/>
      <c r="DF31" s="62"/>
      <c r="DG31" s="61"/>
      <c r="DH31" s="61"/>
      <c r="DI31" s="75"/>
      <c r="DJ31" s="76"/>
      <c r="DK31" s="58"/>
      <c r="DP31" s="59"/>
      <c r="DQ31" s="60"/>
      <c r="DR31" s="61"/>
      <c r="DS31" s="62"/>
      <c r="DT31" s="61"/>
      <c r="DU31" s="61"/>
      <c r="DV31" s="75"/>
      <c r="DW31" s="76"/>
      <c r="DX31" s="58"/>
      <c r="EC31" s="59"/>
      <c r="ED31" s="60"/>
      <c r="EE31" s="61"/>
      <c r="EF31" s="62"/>
      <c r="EG31" s="61"/>
      <c r="EH31" s="61"/>
      <c r="EI31" s="75"/>
      <c r="EJ31" s="76"/>
      <c r="EK31" s="58"/>
      <c r="EP31" s="59"/>
      <c r="EQ31" s="60"/>
      <c r="ER31" s="61"/>
      <c r="ES31" s="62"/>
      <c r="ET31" s="61"/>
      <c r="EU31" s="61"/>
      <c r="EV31" s="75"/>
      <c r="EW31" s="76"/>
      <c r="EX31" s="58"/>
    </row>
    <row r="32" spans="2:156">
      <c r="B32" s="69"/>
      <c r="C32" s="112">
        <v>340</v>
      </c>
      <c r="D32" s="71">
        <v>30</v>
      </c>
      <c r="E32" s="58"/>
      <c r="F32" s="70"/>
      <c r="G32" s="70"/>
      <c r="H32" s="72"/>
      <c r="I32" s="73"/>
      <c r="J32" s="58"/>
      <c r="O32" s="69"/>
      <c r="P32" s="71">
        <v>170</v>
      </c>
      <c r="Q32" s="91">
        <v>10</v>
      </c>
      <c r="R32" s="70"/>
      <c r="S32" s="70"/>
      <c r="T32" s="70"/>
      <c r="U32" s="72"/>
      <c r="V32" s="73"/>
      <c r="W32" s="58"/>
      <c r="AB32" s="33" t="s">
        <v>62</v>
      </c>
      <c r="AC32" s="34"/>
      <c r="AD32" s="34"/>
      <c r="AE32" s="34"/>
      <c r="AF32" s="34"/>
      <c r="AG32" s="34"/>
      <c r="AH32" s="34"/>
      <c r="AI32" s="34"/>
      <c r="AJ32" s="34"/>
      <c r="AK32" s="34"/>
      <c r="AL32" s="35"/>
      <c r="AO32" s="59"/>
      <c r="AP32" s="60">
        <v>70</v>
      </c>
      <c r="AQ32" s="61"/>
      <c r="AR32" s="62"/>
      <c r="AS32" s="61"/>
      <c r="AT32" s="61">
        <v>140</v>
      </c>
      <c r="AU32" s="75" t="s">
        <v>63</v>
      </c>
      <c r="AV32" s="84"/>
      <c r="AW32" s="77"/>
      <c r="AX32" s="82" t="s">
        <v>37</v>
      </c>
      <c r="AY32" s="83">
        <f>AY27/8</f>
        <v>115.875</v>
      </c>
      <c r="BB32" s="59"/>
      <c r="BC32" s="60">
        <v>175</v>
      </c>
      <c r="BD32" s="61"/>
      <c r="BE32" s="62"/>
      <c r="BF32" s="61"/>
      <c r="BG32" s="61"/>
      <c r="BH32" s="75"/>
      <c r="BI32" s="84"/>
      <c r="BJ32" s="77"/>
      <c r="BK32" s="82" t="s">
        <v>37</v>
      </c>
      <c r="BL32" s="83">
        <f>BL27/8</f>
        <v>70.125</v>
      </c>
      <c r="BP32" s="69"/>
      <c r="BQ32" s="112"/>
      <c r="BR32" s="71"/>
      <c r="BS32" s="58"/>
      <c r="BT32" s="70"/>
      <c r="BU32" s="70"/>
      <c r="BV32" s="72"/>
      <c r="BW32" s="73"/>
      <c r="BX32" s="58"/>
      <c r="CC32" s="69"/>
      <c r="CD32" s="112"/>
      <c r="CE32" s="71"/>
      <c r="CF32" s="58"/>
      <c r="CG32" s="70"/>
      <c r="CH32" s="70"/>
      <c r="CI32" s="72"/>
      <c r="CJ32" s="73"/>
      <c r="CK32" s="58"/>
      <c r="CP32" s="69"/>
      <c r="CQ32" s="112"/>
      <c r="CR32" s="71"/>
      <c r="CS32" s="58"/>
      <c r="CT32" s="70"/>
      <c r="CU32" s="70"/>
      <c r="CV32" s="72"/>
      <c r="CW32" s="73"/>
      <c r="CX32" s="58"/>
      <c r="DC32" s="69"/>
      <c r="DD32" s="112"/>
      <c r="DE32" s="71"/>
      <c r="DF32" s="58"/>
      <c r="DG32" s="70"/>
      <c r="DH32" s="70"/>
      <c r="DI32" s="72"/>
      <c r="DJ32" s="73"/>
      <c r="DK32" s="58"/>
      <c r="DP32" s="69"/>
      <c r="DQ32" s="112"/>
      <c r="DR32" s="71"/>
      <c r="DS32" s="58"/>
      <c r="DT32" s="70"/>
      <c r="DU32" s="70"/>
      <c r="DV32" s="72"/>
      <c r="DW32" s="73"/>
      <c r="DX32" s="58"/>
      <c r="EC32" s="69"/>
      <c r="ED32" s="112"/>
      <c r="EE32" s="71"/>
      <c r="EF32" s="58"/>
      <c r="EG32" s="70"/>
      <c r="EH32" s="70"/>
      <c r="EI32" s="72"/>
      <c r="EJ32" s="73"/>
      <c r="EK32" s="58"/>
      <c r="EP32" s="69"/>
      <c r="EQ32" s="112"/>
      <c r="ER32" s="71"/>
      <c r="ES32" s="58"/>
      <c r="ET32" s="70"/>
      <c r="EU32" s="70"/>
      <c r="EV32" s="72"/>
      <c r="EW32" s="73"/>
      <c r="EX32" s="58"/>
    </row>
    <row r="33" ht="15.75" spans="2:154">
      <c r="B33" s="59"/>
      <c r="C33" s="60"/>
      <c r="D33" s="61"/>
      <c r="E33" s="113">
        <v>648</v>
      </c>
      <c r="F33" s="61">
        <v>16</v>
      </c>
      <c r="G33" s="61"/>
      <c r="H33" s="75"/>
      <c r="I33" s="76"/>
      <c r="J33" s="58"/>
      <c r="O33" s="59"/>
      <c r="P33" s="61"/>
      <c r="Q33" s="61"/>
      <c r="R33" s="62">
        <v>450</v>
      </c>
      <c r="S33" s="61">
        <v>45</v>
      </c>
      <c r="T33" s="61"/>
      <c r="U33" s="75"/>
      <c r="V33" s="76"/>
      <c r="W33" s="58"/>
      <c r="AB33" s="36"/>
      <c r="AC33" s="37"/>
      <c r="AD33" s="37"/>
      <c r="AE33" s="37"/>
      <c r="AF33" s="37"/>
      <c r="AG33" s="37"/>
      <c r="AH33" s="37"/>
      <c r="AI33" s="37"/>
      <c r="AJ33" s="37"/>
      <c r="AK33" s="37"/>
      <c r="AL33" s="38"/>
      <c r="AO33" s="69"/>
      <c r="AP33" s="70">
        <v>394</v>
      </c>
      <c r="AQ33" s="85">
        <v>36</v>
      </c>
      <c r="AR33" s="70"/>
      <c r="AS33" s="70"/>
      <c r="AT33" s="70">
        <v>16</v>
      </c>
      <c r="AU33" s="72" t="s">
        <v>64</v>
      </c>
      <c r="AV33" s="73"/>
      <c r="AW33" s="86"/>
      <c r="AX33" s="77"/>
      <c r="AY33" s="87"/>
      <c r="BB33" s="69"/>
      <c r="BC33" s="70">
        <v>464</v>
      </c>
      <c r="BD33" s="85">
        <v>36</v>
      </c>
      <c r="BE33" s="70"/>
      <c r="BF33" s="70"/>
      <c r="BG33" s="70"/>
      <c r="BH33" s="72"/>
      <c r="BI33" s="73"/>
      <c r="BJ33" s="86"/>
      <c r="BK33" s="77"/>
      <c r="BL33" s="87"/>
      <c r="BP33" s="59"/>
      <c r="BQ33" s="60"/>
      <c r="BR33" s="61"/>
      <c r="BS33" s="62"/>
      <c r="BT33" s="61"/>
      <c r="BU33" s="61"/>
      <c r="BV33" s="75"/>
      <c r="BW33" s="76"/>
      <c r="BX33" s="58"/>
      <c r="CC33" s="59"/>
      <c r="CD33" s="60"/>
      <c r="CE33" s="61"/>
      <c r="CF33" s="62"/>
      <c r="CG33" s="61"/>
      <c r="CH33" s="61"/>
      <c r="CI33" s="75"/>
      <c r="CJ33" s="76"/>
      <c r="CK33" s="58"/>
      <c r="CP33" s="59"/>
      <c r="CQ33" s="60"/>
      <c r="CR33" s="61"/>
      <c r="CS33" s="62"/>
      <c r="CT33" s="61"/>
      <c r="CU33" s="61"/>
      <c r="CV33" s="75"/>
      <c r="CW33" s="76"/>
      <c r="CX33" s="58"/>
      <c r="DC33" s="59"/>
      <c r="DD33" s="60"/>
      <c r="DE33" s="61"/>
      <c r="DF33" s="62"/>
      <c r="DG33" s="61"/>
      <c r="DH33" s="61"/>
      <c r="DI33" s="75"/>
      <c r="DJ33" s="76"/>
      <c r="DK33" s="58"/>
      <c r="DP33" s="59"/>
      <c r="DQ33" s="60"/>
      <c r="DR33" s="61"/>
      <c r="DS33" s="62"/>
      <c r="DT33" s="61"/>
      <c r="DU33" s="61"/>
      <c r="DV33" s="75"/>
      <c r="DW33" s="76"/>
      <c r="DX33" s="58"/>
      <c r="EC33" s="59"/>
      <c r="ED33" s="60"/>
      <c r="EE33" s="61"/>
      <c r="EF33" s="62"/>
      <c r="EG33" s="61"/>
      <c r="EH33" s="61"/>
      <c r="EI33" s="75"/>
      <c r="EJ33" s="76"/>
      <c r="EK33" s="58"/>
      <c r="EP33" s="59"/>
      <c r="EQ33" s="60"/>
      <c r="ER33" s="61"/>
      <c r="ES33" s="62"/>
      <c r="ET33" s="61"/>
      <c r="EU33" s="61"/>
      <c r="EV33" s="75"/>
      <c r="EW33" s="76"/>
      <c r="EX33" s="58"/>
    </row>
    <row r="34" ht="15.75" spans="2:154">
      <c r="B34" s="69"/>
      <c r="C34" s="112">
        <v>25</v>
      </c>
      <c r="D34" s="71"/>
      <c r="E34" s="58"/>
      <c r="F34" s="70"/>
      <c r="G34" s="70"/>
      <c r="H34" s="72"/>
      <c r="I34" s="73"/>
      <c r="J34" s="58"/>
      <c r="O34" s="69"/>
      <c r="P34" s="71"/>
      <c r="Q34" s="71"/>
      <c r="R34" s="70">
        <v>228</v>
      </c>
      <c r="S34" s="70">
        <v>22.8</v>
      </c>
      <c r="T34" s="70"/>
      <c r="U34" s="72"/>
      <c r="V34" s="73"/>
      <c r="W34" s="58"/>
      <c r="AB34" s="39" t="s">
        <v>12</v>
      </c>
      <c r="AC34" s="40" t="s">
        <v>13</v>
      </c>
      <c r="AD34" s="41"/>
      <c r="AE34" s="42" t="s">
        <v>14</v>
      </c>
      <c r="AF34" s="43"/>
      <c r="AG34" s="44" t="s">
        <v>15</v>
      </c>
      <c r="AH34" s="45"/>
      <c r="AI34" s="46"/>
      <c r="AJ34" s="47" t="s">
        <v>16</v>
      </c>
      <c r="AK34" s="48"/>
      <c r="AL34" s="49">
        <f>AC55+AE55</f>
        <v>2397</v>
      </c>
      <c r="AO34" s="59"/>
      <c r="AP34" s="60">
        <v>286</v>
      </c>
      <c r="AQ34" s="61">
        <v>27</v>
      </c>
      <c r="AR34" s="62"/>
      <c r="AS34" s="61"/>
      <c r="AT34" s="61"/>
      <c r="AU34" s="75"/>
      <c r="AV34" s="84"/>
      <c r="AW34" s="77"/>
      <c r="AX34" s="58"/>
      <c r="AY34" s="58"/>
      <c r="BB34" s="59"/>
      <c r="BC34" s="60">
        <v>570</v>
      </c>
      <c r="BD34" s="61">
        <v>80</v>
      </c>
      <c r="BE34" s="62"/>
      <c r="BF34" s="61"/>
      <c r="BG34" s="61"/>
      <c r="BH34" s="75"/>
      <c r="BI34" s="84"/>
      <c r="BJ34" s="77"/>
      <c r="BK34" s="58"/>
      <c r="BL34" s="58"/>
      <c r="BP34" s="69"/>
      <c r="BQ34" s="112"/>
      <c r="BR34" s="71"/>
      <c r="BS34" s="58"/>
      <c r="BT34" s="70"/>
      <c r="BU34" s="70"/>
      <c r="BV34" s="72"/>
      <c r="BW34" s="73"/>
      <c r="BX34" s="58"/>
      <c r="CC34" s="69"/>
      <c r="CD34" s="112"/>
      <c r="CE34" s="71"/>
      <c r="CF34" s="58"/>
      <c r="CG34" s="70"/>
      <c r="CH34" s="70"/>
      <c r="CI34" s="72"/>
      <c r="CJ34" s="73"/>
      <c r="CK34" s="58"/>
      <c r="CP34" s="69"/>
      <c r="CQ34" s="112"/>
      <c r="CR34" s="71"/>
      <c r="CS34" s="58"/>
      <c r="CT34" s="70"/>
      <c r="CU34" s="70"/>
      <c r="CV34" s="72"/>
      <c r="CW34" s="73"/>
      <c r="CX34" s="58"/>
      <c r="DC34" s="69"/>
      <c r="DD34" s="112"/>
      <c r="DE34" s="71"/>
      <c r="DF34" s="58"/>
      <c r="DG34" s="70"/>
      <c r="DH34" s="70"/>
      <c r="DI34" s="72"/>
      <c r="DJ34" s="73"/>
      <c r="DK34" s="58"/>
      <c r="DP34" s="69"/>
      <c r="DQ34" s="112"/>
      <c r="DR34" s="71"/>
      <c r="DS34" s="58"/>
      <c r="DT34" s="70"/>
      <c r="DU34" s="70"/>
      <c r="DV34" s="72"/>
      <c r="DW34" s="73"/>
      <c r="DX34" s="58"/>
      <c r="EC34" s="69"/>
      <c r="ED34" s="112"/>
      <c r="EE34" s="71"/>
      <c r="EF34" s="58"/>
      <c r="EG34" s="70"/>
      <c r="EH34" s="70"/>
      <c r="EI34" s="72"/>
      <c r="EJ34" s="73"/>
      <c r="EK34" s="58"/>
      <c r="EP34" s="69"/>
      <c r="EQ34" s="112"/>
      <c r="ER34" s="71"/>
      <c r="ES34" s="58"/>
      <c r="ET34" s="70"/>
      <c r="EU34" s="70"/>
      <c r="EV34" s="72"/>
      <c r="EW34" s="73"/>
      <c r="EX34" s="58"/>
    </row>
    <row r="35" ht="15.75" spans="2:154">
      <c r="B35" s="59"/>
      <c r="C35" s="60"/>
      <c r="D35" s="61">
        <v>20</v>
      </c>
      <c r="E35" s="62">
        <v>1511</v>
      </c>
      <c r="F35" s="61">
        <v>226.65</v>
      </c>
      <c r="G35" s="61"/>
      <c r="H35" s="75"/>
      <c r="I35" s="76"/>
      <c r="J35" s="58"/>
      <c r="O35" s="59"/>
      <c r="P35" s="61"/>
      <c r="Q35" s="61"/>
      <c r="R35" s="62">
        <v>454</v>
      </c>
      <c r="S35" s="110">
        <v>68.1</v>
      </c>
      <c r="T35" s="61"/>
      <c r="U35" s="75"/>
      <c r="V35" s="76"/>
      <c r="W35" s="58"/>
      <c r="AB35" s="50"/>
      <c r="AC35" s="51" t="s">
        <v>17</v>
      </c>
      <c r="AD35" s="51" t="s">
        <v>18</v>
      </c>
      <c r="AE35" s="52" t="s">
        <v>17</v>
      </c>
      <c r="AF35" s="52" t="s">
        <v>18</v>
      </c>
      <c r="AG35" s="53"/>
      <c r="AH35" s="54"/>
      <c r="AI35" s="55"/>
      <c r="AJ35" s="56" t="s">
        <v>19</v>
      </c>
      <c r="AK35" s="57"/>
      <c r="AL35" s="49">
        <f>AD55+AF55</f>
        <v>216.5</v>
      </c>
      <c r="AO35" s="69"/>
      <c r="AP35" s="70">
        <v>808</v>
      </c>
      <c r="AQ35" s="85">
        <v>92</v>
      </c>
      <c r="AR35" s="70"/>
      <c r="AS35" s="70"/>
      <c r="AT35" s="70"/>
      <c r="AU35" s="72"/>
      <c r="AV35" s="73"/>
      <c r="AW35" s="77"/>
      <c r="AX35" s="58"/>
      <c r="AY35" s="58"/>
      <c r="BB35" s="69"/>
      <c r="BC35" s="70">
        <v>97</v>
      </c>
      <c r="BD35" s="85">
        <v>20</v>
      </c>
      <c r="BE35" s="70"/>
      <c r="BF35" s="70"/>
      <c r="BG35" s="70"/>
      <c r="BH35" s="72"/>
      <c r="BI35" s="73"/>
      <c r="BJ35" s="77"/>
      <c r="BK35" s="58"/>
      <c r="BL35" s="58"/>
      <c r="BP35" s="59"/>
      <c r="BQ35" s="60"/>
      <c r="BR35" s="61"/>
      <c r="BS35" s="62"/>
      <c r="BT35" s="61"/>
      <c r="BU35" s="61"/>
      <c r="BV35" s="75"/>
      <c r="BW35" s="76"/>
      <c r="BX35" s="58"/>
      <c r="CC35" s="59"/>
      <c r="CD35" s="60"/>
      <c r="CE35" s="61"/>
      <c r="CF35" s="62"/>
      <c r="CG35" s="61"/>
      <c r="CH35" s="61"/>
      <c r="CI35" s="75"/>
      <c r="CJ35" s="76"/>
      <c r="CK35" s="58"/>
      <c r="CP35" s="59"/>
      <c r="CQ35" s="60"/>
      <c r="CR35" s="61"/>
      <c r="CS35" s="62"/>
      <c r="CT35" s="61"/>
      <c r="CU35" s="61"/>
      <c r="CV35" s="75"/>
      <c r="CW35" s="76"/>
      <c r="CX35" s="58"/>
      <c r="DC35" s="59"/>
      <c r="DD35" s="60"/>
      <c r="DE35" s="61"/>
      <c r="DF35" s="62"/>
      <c r="DG35" s="61"/>
      <c r="DH35" s="61"/>
      <c r="DI35" s="75"/>
      <c r="DJ35" s="76"/>
      <c r="DK35" s="58"/>
      <c r="DP35" s="59"/>
      <c r="DQ35" s="60"/>
      <c r="DR35" s="61"/>
      <c r="DS35" s="62"/>
      <c r="DT35" s="61"/>
      <c r="DU35" s="61"/>
      <c r="DV35" s="75"/>
      <c r="DW35" s="76"/>
      <c r="DX35" s="58"/>
      <c r="EC35" s="59"/>
      <c r="ED35" s="60"/>
      <c r="EE35" s="61"/>
      <c r="EF35" s="62"/>
      <c r="EG35" s="61"/>
      <c r="EH35" s="61"/>
      <c r="EI35" s="75"/>
      <c r="EJ35" s="76"/>
      <c r="EK35" s="58"/>
      <c r="EP35" s="59"/>
      <c r="EQ35" s="60"/>
      <c r="ER35" s="61"/>
      <c r="ES35" s="62"/>
      <c r="ET35" s="61"/>
      <c r="EU35" s="61"/>
      <c r="EV35" s="75"/>
      <c r="EW35" s="76"/>
      <c r="EX35" s="58"/>
    </row>
    <row r="36" ht="15.75" spans="2:154">
      <c r="B36" s="69"/>
      <c r="C36" s="112"/>
      <c r="D36" s="71"/>
      <c r="E36" s="58">
        <v>727</v>
      </c>
      <c r="F36" s="70">
        <v>113</v>
      </c>
      <c r="G36" s="70"/>
      <c r="H36" s="72"/>
      <c r="I36" s="73"/>
      <c r="O36" s="69"/>
      <c r="P36" s="112">
        <v>220</v>
      </c>
      <c r="Q36" s="71">
        <v>20</v>
      </c>
      <c r="R36" s="58"/>
      <c r="S36" s="70"/>
      <c r="T36" s="70"/>
      <c r="U36" s="72"/>
      <c r="V36" s="73"/>
      <c r="AB36" s="59">
        <v>412</v>
      </c>
      <c r="AC36" s="60">
        <v>407</v>
      </c>
      <c r="AD36" s="61">
        <v>13</v>
      </c>
      <c r="AE36" s="62"/>
      <c r="AF36" s="61"/>
      <c r="AG36" s="61">
        <v>158</v>
      </c>
      <c r="AH36" s="63" t="s">
        <v>50</v>
      </c>
      <c r="AI36" s="64"/>
      <c r="AJ36" s="65" t="s">
        <v>21</v>
      </c>
      <c r="AK36" s="66"/>
      <c r="AL36" s="67">
        <f>AG55</f>
        <v>353</v>
      </c>
      <c r="AO36" s="59"/>
      <c r="AP36" s="60"/>
      <c r="AQ36" s="61"/>
      <c r="AR36" s="62">
        <v>990</v>
      </c>
      <c r="AS36" s="61">
        <v>99</v>
      </c>
      <c r="AT36" s="61"/>
      <c r="AU36" s="75"/>
      <c r="AV36" s="84"/>
      <c r="AW36" s="77"/>
      <c r="AX36" s="58"/>
      <c r="AY36" s="58"/>
      <c r="BB36" s="59"/>
      <c r="BC36" s="60">
        <v>355</v>
      </c>
      <c r="BD36" s="61">
        <v>35</v>
      </c>
      <c r="BE36" s="62"/>
      <c r="BF36" s="61"/>
      <c r="BG36" s="61"/>
      <c r="BH36" s="75"/>
      <c r="BI36" s="84"/>
      <c r="BJ36" s="77"/>
      <c r="BK36" s="58"/>
      <c r="BL36" s="58"/>
      <c r="BP36" s="69"/>
      <c r="BQ36" s="112"/>
      <c r="BR36" s="71"/>
      <c r="BS36" s="58"/>
      <c r="BT36" s="70"/>
      <c r="BU36" s="70"/>
      <c r="BV36" s="72"/>
      <c r="BW36" s="73"/>
      <c r="CC36" s="69"/>
      <c r="CD36" s="112"/>
      <c r="CE36" s="71"/>
      <c r="CF36" s="58"/>
      <c r="CG36" s="70"/>
      <c r="CH36" s="70"/>
      <c r="CI36" s="72"/>
      <c r="CJ36" s="73"/>
      <c r="CP36" s="69"/>
      <c r="CQ36" s="112"/>
      <c r="CR36" s="71"/>
      <c r="CS36" s="58"/>
      <c r="CT36" s="70"/>
      <c r="CU36" s="70"/>
      <c r="CV36" s="72"/>
      <c r="CW36" s="73"/>
      <c r="DC36" s="69"/>
      <c r="DD36" s="112"/>
      <c r="DE36" s="71"/>
      <c r="DF36" s="58"/>
      <c r="DG36" s="70"/>
      <c r="DH36" s="70"/>
      <c r="DI36" s="72"/>
      <c r="DJ36" s="73"/>
      <c r="DP36" s="69"/>
      <c r="DQ36" s="112"/>
      <c r="DR36" s="71"/>
      <c r="DS36" s="58"/>
      <c r="DT36" s="70"/>
      <c r="DU36" s="70"/>
      <c r="DV36" s="72"/>
      <c r="DW36" s="73"/>
      <c r="EC36" s="69"/>
      <c r="ED36" s="112"/>
      <c r="EE36" s="71"/>
      <c r="EF36" s="58"/>
      <c r="EG36" s="70"/>
      <c r="EH36" s="70"/>
      <c r="EI36" s="72"/>
      <c r="EJ36" s="73"/>
      <c r="EP36" s="69"/>
      <c r="EQ36" s="112"/>
      <c r="ER36" s="71"/>
      <c r="ES36" s="58"/>
      <c r="ET36" s="70"/>
      <c r="EU36" s="70"/>
      <c r="EV36" s="72"/>
      <c r="EW36" s="73"/>
    </row>
    <row r="37" ht="15.75" spans="2:154">
      <c r="B37" s="59"/>
      <c r="C37" s="60"/>
      <c r="D37" s="61"/>
      <c r="E37" s="62">
        <v>230</v>
      </c>
      <c r="F37" s="61">
        <v>23</v>
      </c>
      <c r="G37" s="61"/>
      <c r="H37" s="75"/>
      <c r="I37" s="76"/>
      <c r="O37" s="59"/>
      <c r="P37" s="60"/>
      <c r="Q37" s="61"/>
      <c r="R37" s="62">
        <v>285</v>
      </c>
      <c r="S37" s="110">
        <v>28.5</v>
      </c>
      <c r="T37" s="61"/>
      <c r="U37" s="75"/>
      <c r="V37" s="76"/>
      <c r="AB37" s="69"/>
      <c r="AC37" s="70"/>
      <c r="AD37" s="71"/>
      <c r="AE37" s="70">
        <v>192</v>
      </c>
      <c r="AF37" s="70">
        <v>19.2</v>
      </c>
      <c r="AG37" s="70">
        <v>25</v>
      </c>
      <c r="AH37" s="72" t="s">
        <v>29</v>
      </c>
      <c r="AI37" s="73"/>
      <c r="AJ37" s="74" t="s">
        <v>26</v>
      </c>
      <c r="AK37" s="57"/>
      <c r="AL37" s="49">
        <f>AB55+AL34+AL35-AL36-AE55-AF55</f>
        <v>1293</v>
      </c>
      <c r="AO37" s="69"/>
      <c r="AP37" s="70"/>
      <c r="AQ37" s="85"/>
      <c r="AR37" s="70">
        <v>428</v>
      </c>
      <c r="AS37" s="70">
        <v>42.8</v>
      </c>
      <c r="AT37" s="70"/>
      <c r="AU37" s="72"/>
      <c r="AV37" s="73"/>
      <c r="AW37" s="89" t="s">
        <v>44</v>
      </c>
      <c r="AX37" s="90" t="s">
        <v>45</v>
      </c>
      <c r="AY37" s="90" t="s">
        <v>46</v>
      </c>
      <c r="BB37" s="69"/>
      <c r="BC37" s="70">
        <v>254</v>
      </c>
      <c r="BD37" s="85"/>
      <c r="BE37" s="70"/>
      <c r="BF37" s="70"/>
      <c r="BG37" s="70"/>
      <c r="BH37" s="72"/>
      <c r="BI37" s="73"/>
      <c r="BJ37" s="89" t="s">
        <v>44</v>
      </c>
      <c r="BK37" s="90" t="s">
        <v>45</v>
      </c>
      <c r="BL37" s="90" t="s">
        <v>46</v>
      </c>
      <c r="BP37" s="59"/>
      <c r="BQ37" s="60"/>
      <c r="BR37" s="61"/>
      <c r="BS37" s="62"/>
      <c r="BT37" s="61"/>
      <c r="BU37" s="61"/>
      <c r="BV37" s="75"/>
      <c r="BW37" s="76"/>
      <c r="CC37" s="59"/>
      <c r="CD37" s="60"/>
      <c r="CE37" s="61"/>
      <c r="CF37" s="62"/>
      <c r="CG37" s="61"/>
      <c r="CH37" s="61"/>
      <c r="CI37" s="75"/>
      <c r="CJ37" s="76"/>
      <c r="CP37" s="59"/>
      <c r="CQ37" s="60"/>
      <c r="CR37" s="61"/>
      <c r="CS37" s="62"/>
      <c r="CT37" s="61"/>
      <c r="CU37" s="61"/>
      <c r="CV37" s="75"/>
      <c r="CW37" s="76"/>
      <c r="DC37" s="59"/>
      <c r="DD37" s="60"/>
      <c r="DE37" s="61"/>
      <c r="DF37" s="62"/>
      <c r="DG37" s="61"/>
      <c r="DH37" s="61"/>
      <c r="DI37" s="75"/>
      <c r="DJ37" s="76"/>
      <c r="DP37" s="59"/>
      <c r="DQ37" s="60"/>
      <c r="DR37" s="61"/>
      <c r="DS37" s="62"/>
      <c r="DT37" s="61"/>
      <c r="DU37" s="61"/>
      <c r="DV37" s="75"/>
      <c r="DW37" s="76"/>
      <c r="EC37" s="59"/>
      <c r="ED37" s="60"/>
      <c r="EE37" s="61"/>
      <c r="EF37" s="62"/>
      <c r="EG37" s="61"/>
      <c r="EH37" s="61"/>
      <c r="EI37" s="75"/>
      <c r="EJ37" s="76"/>
      <c r="EP37" s="59"/>
      <c r="EQ37" s="60"/>
      <c r="ER37" s="61"/>
      <c r="ES37" s="62"/>
      <c r="ET37" s="61"/>
      <c r="EU37" s="61"/>
      <c r="EV37" s="75"/>
      <c r="EW37" s="76"/>
    </row>
    <row r="38" spans="2:154">
      <c r="B38" s="96"/>
      <c r="C38" s="97">
        <v>220</v>
      </c>
      <c r="D38" s="98">
        <v>20</v>
      </c>
      <c r="E38" s="99"/>
      <c r="F38" s="98"/>
      <c r="G38" s="98"/>
      <c r="H38" s="72"/>
      <c r="I38" s="73"/>
      <c r="O38" s="96"/>
      <c r="P38" s="97">
        <v>76</v>
      </c>
      <c r="Q38" s="98"/>
      <c r="R38" s="99"/>
      <c r="S38" s="98"/>
      <c r="T38" s="98"/>
      <c r="U38" s="72"/>
      <c r="V38" s="73"/>
      <c r="AB38" s="59"/>
      <c r="AC38" s="60"/>
      <c r="AD38" s="61"/>
      <c r="AE38" s="62">
        <v>338</v>
      </c>
      <c r="AF38" s="61">
        <v>67.6</v>
      </c>
      <c r="AG38" s="61">
        <v>170</v>
      </c>
      <c r="AH38" s="75" t="s">
        <v>63</v>
      </c>
      <c r="AI38" s="76"/>
      <c r="AJ38" s="77"/>
      <c r="AK38" s="78" t="s">
        <v>30</v>
      </c>
      <c r="AL38" s="79">
        <f>AL35/4</f>
        <v>54.125</v>
      </c>
      <c r="AO38" s="59"/>
      <c r="AP38" s="60">
        <v>1206</v>
      </c>
      <c r="AQ38" s="61">
        <v>150</v>
      </c>
      <c r="AR38" s="62"/>
      <c r="AS38" s="61"/>
      <c r="AT38" s="61"/>
      <c r="AU38" s="75"/>
      <c r="AV38" s="84"/>
      <c r="AW38" s="92" t="s">
        <v>47</v>
      </c>
      <c r="AX38" s="93" t="s">
        <v>48</v>
      </c>
      <c r="AY38" s="93" t="s">
        <v>65</v>
      </c>
      <c r="BB38" s="59"/>
      <c r="BC38" s="60">
        <v>427</v>
      </c>
      <c r="BD38" s="61">
        <v>93</v>
      </c>
      <c r="BE38" s="62"/>
      <c r="BF38" s="61"/>
      <c r="BG38" s="61"/>
      <c r="BH38" s="75"/>
      <c r="BI38" s="84"/>
      <c r="BJ38" s="92" t="s">
        <v>47</v>
      </c>
      <c r="BK38" s="93" t="s">
        <v>27</v>
      </c>
      <c r="BL38" s="93" t="s">
        <v>66</v>
      </c>
      <c r="BP38" s="96"/>
      <c r="BQ38" s="97"/>
      <c r="BR38" s="98"/>
      <c r="BS38" s="99"/>
      <c r="BT38" s="98"/>
      <c r="BU38" s="98"/>
      <c r="BV38" s="72"/>
      <c r="BW38" s="73"/>
      <c r="CC38" s="96"/>
      <c r="CD38" s="97"/>
      <c r="CE38" s="98"/>
      <c r="CF38" s="99"/>
      <c r="CG38" s="98"/>
      <c r="CH38" s="98"/>
      <c r="CI38" s="72"/>
      <c r="CJ38" s="73"/>
      <c r="CP38" s="96"/>
      <c r="CQ38" s="97"/>
      <c r="CR38" s="98"/>
      <c r="CS38" s="99"/>
      <c r="CT38" s="98"/>
      <c r="CU38" s="98"/>
      <c r="CV38" s="72"/>
      <c r="CW38" s="73"/>
      <c r="DC38" s="96"/>
      <c r="DD38" s="97"/>
      <c r="DE38" s="98"/>
      <c r="DF38" s="99"/>
      <c r="DG38" s="98"/>
      <c r="DH38" s="98"/>
      <c r="DI38" s="72"/>
      <c r="DJ38" s="73"/>
      <c r="DP38" s="96"/>
      <c r="DQ38" s="97"/>
      <c r="DR38" s="98"/>
      <c r="DS38" s="99"/>
      <c r="DT38" s="98"/>
      <c r="DU38" s="98"/>
      <c r="DV38" s="72"/>
      <c r="DW38" s="73"/>
      <c r="EC38" s="96"/>
      <c r="ED38" s="97"/>
      <c r="EE38" s="98"/>
      <c r="EF38" s="99"/>
      <c r="EG38" s="98"/>
      <c r="EH38" s="98"/>
      <c r="EI38" s="72"/>
      <c r="EJ38" s="73"/>
      <c r="EP38" s="96"/>
      <c r="EQ38" s="97"/>
      <c r="ER38" s="98"/>
      <c r="ES38" s="99"/>
      <c r="ET38" s="98"/>
      <c r="EU38" s="98"/>
      <c r="EV38" s="72"/>
      <c r="EW38" s="73"/>
    </row>
    <row r="39" spans="2:154">
      <c r="B39" s="59"/>
      <c r="C39" s="60"/>
      <c r="D39" s="61"/>
      <c r="E39" s="62">
        <v>175</v>
      </c>
      <c r="F39" s="61">
        <v>17.5</v>
      </c>
      <c r="G39" s="61"/>
      <c r="H39" s="75"/>
      <c r="I39" s="76"/>
      <c r="O39" s="59"/>
      <c r="P39" s="60">
        <v>430</v>
      </c>
      <c r="Q39" s="61">
        <v>50</v>
      </c>
      <c r="R39" s="62"/>
      <c r="S39" s="61"/>
      <c r="T39" s="61"/>
      <c r="U39" s="75"/>
      <c r="V39" s="76"/>
      <c r="AB39" s="69"/>
      <c r="AC39" s="70">
        <v>142</v>
      </c>
      <c r="AD39" s="71">
        <v>20</v>
      </c>
      <c r="AE39" s="70"/>
      <c r="AF39" s="70"/>
      <c r="AG39" s="70"/>
      <c r="AH39" s="72"/>
      <c r="AI39" s="73"/>
      <c r="AJ39" s="77"/>
      <c r="AK39" s="80" t="s">
        <v>34</v>
      </c>
      <c r="AL39" s="81">
        <f>AL35/6</f>
        <v>36.0833333333333</v>
      </c>
      <c r="AO39" s="69"/>
      <c r="AP39" s="70">
        <v>15</v>
      </c>
      <c r="AQ39" s="85"/>
      <c r="AR39" s="70"/>
      <c r="AS39" s="70"/>
      <c r="AT39" s="70"/>
      <c r="AU39" s="72"/>
      <c r="AV39" s="73"/>
      <c r="AW39" s="94" t="s">
        <v>52</v>
      </c>
      <c r="AX39" s="95" t="s">
        <v>27</v>
      </c>
      <c r="AY39" s="95" t="s">
        <v>67</v>
      </c>
      <c r="BB39" s="69"/>
      <c r="BC39" s="70"/>
      <c r="BD39" s="85"/>
      <c r="BE39" s="70">
        <v>848</v>
      </c>
      <c r="BF39" s="70">
        <v>84.8</v>
      </c>
      <c r="BG39" s="70"/>
      <c r="BH39" s="72"/>
      <c r="BI39" s="73"/>
      <c r="BJ39" s="94" t="s">
        <v>52</v>
      </c>
      <c r="BK39" s="95" t="s">
        <v>48</v>
      </c>
      <c r="BL39" s="95" t="s">
        <v>65</v>
      </c>
      <c r="BP39" s="59"/>
      <c r="BQ39" s="60"/>
      <c r="BR39" s="61"/>
      <c r="BS39" s="62"/>
      <c r="BT39" s="61"/>
      <c r="BU39" s="61"/>
      <c r="BV39" s="75"/>
      <c r="BW39" s="76"/>
      <c r="CC39" s="59"/>
      <c r="CD39" s="60"/>
      <c r="CE39" s="61"/>
      <c r="CF39" s="62"/>
      <c r="CG39" s="61"/>
      <c r="CH39" s="61"/>
      <c r="CI39" s="75"/>
      <c r="CJ39" s="76"/>
      <c r="CP39" s="59"/>
      <c r="CQ39" s="60"/>
      <c r="CR39" s="61"/>
      <c r="CS39" s="62"/>
      <c r="CT39" s="61"/>
      <c r="CU39" s="61"/>
      <c r="CV39" s="75"/>
      <c r="CW39" s="76"/>
      <c r="DC39" s="59"/>
      <c r="DD39" s="60"/>
      <c r="DE39" s="61"/>
      <c r="DF39" s="62"/>
      <c r="DG39" s="61"/>
      <c r="DH39" s="61"/>
      <c r="DI39" s="75"/>
      <c r="DJ39" s="76"/>
      <c r="DP39" s="59"/>
      <c r="DQ39" s="60"/>
      <c r="DR39" s="61"/>
      <c r="DS39" s="62"/>
      <c r="DT39" s="61"/>
      <c r="DU39" s="61"/>
      <c r="DV39" s="75"/>
      <c r="DW39" s="76"/>
      <c r="EC39" s="59"/>
      <c r="ED39" s="60"/>
      <c r="EE39" s="61"/>
      <c r="EF39" s="62"/>
      <c r="EG39" s="61"/>
      <c r="EH39" s="61"/>
      <c r="EI39" s="75"/>
      <c r="EJ39" s="76"/>
      <c r="EP39" s="59"/>
      <c r="EQ39" s="60"/>
      <c r="ER39" s="61"/>
      <c r="ES39" s="62"/>
      <c r="ET39" s="61"/>
      <c r="EU39" s="61"/>
      <c r="EV39" s="75"/>
      <c r="EW39" s="76"/>
    </row>
    <row r="40" ht="15.75" spans="2:154">
      <c r="B40" s="96"/>
      <c r="C40" s="97"/>
      <c r="D40" s="98"/>
      <c r="E40" s="99">
        <v>625</v>
      </c>
      <c r="F40" s="98">
        <v>62.5</v>
      </c>
      <c r="G40" s="98"/>
      <c r="H40" s="114"/>
      <c r="I40" s="115"/>
      <c r="O40" s="96"/>
      <c r="P40" s="97"/>
      <c r="Q40" s="98"/>
      <c r="R40" s="99"/>
      <c r="S40" s="98"/>
      <c r="T40" s="98"/>
      <c r="U40" s="100"/>
      <c r="V40" s="101"/>
      <c r="AB40" s="59"/>
      <c r="AC40" s="60"/>
      <c r="AD40" s="61">
        <v>40</v>
      </c>
      <c r="AE40" s="62">
        <v>381</v>
      </c>
      <c r="AF40" s="61"/>
      <c r="AG40" s="61"/>
      <c r="AH40" s="75"/>
      <c r="AI40" s="76"/>
      <c r="AJ40" s="77"/>
      <c r="AK40" s="82" t="s">
        <v>37</v>
      </c>
      <c r="AL40" s="83">
        <f>AL35/8</f>
        <v>27.0625</v>
      </c>
      <c r="AO40" s="59"/>
      <c r="AP40" s="60">
        <v>170</v>
      </c>
      <c r="AQ40" s="61"/>
      <c r="AR40" s="62"/>
      <c r="AS40" s="61"/>
      <c r="AT40" s="61"/>
      <c r="AU40" s="75"/>
      <c r="AV40" s="84"/>
      <c r="AW40" s="77"/>
      <c r="AX40" s="77"/>
      <c r="AY40" s="87"/>
      <c r="BB40" s="59"/>
      <c r="BC40" s="60">
        <v>230</v>
      </c>
      <c r="BD40" s="61">
        <v>25</v>
      </c>
      <c r="BE40" s="62"/>
      <c r="BF40" s="61"/>
      <c r="BG40" s="61"/>
      <c r="BH40" s="75"/>
      <c r="BI40" s="84"/>
      <c r="BJ40" s="77"/>
      <c r="BK40" s="77"/>
      <c r="BL40" s="87"/>
      <c r="BP40" s="96"/>
      <c r="BQ40" s="97"/>
      <c r="BR40" s="98"/>
      <c r="BS40" s="99"/>
      <c r="BT40" s="98"/>
      <c r="BU40" s="98"/>
      <c r="BV40" s="114"/>
      <c r="BW40" s="115"/>
      <c r="CC40" s="96"/>
      <c r="CD40" s="97"/>
      <c r="CE40" s="98"/>
      <c r="CF40" s="99"/>
      <c r="CG40" s="98"/>
      <c r="CH40" s="98"/>
      <c r="CI40" s="114"/>
      <c r="CJ40" s="115"/>
      <c r="CP40" s="96"/>
      <c r="CQ40" s="97"/>
      <c r="CR40" s="98"/>
      <c r="CS40" s="99"/>
      <c r="CT40" s="98"/>
      <c r="CU40" s="98"/>
      <c r="CV40" s="114"/>
      <c r="CW40" s="115"/>
      <c r="DC40" s="96"/>
      <c r="DD40" s="97"/>
      <c r="DE40" s="98"/>
      <c r="DF40" s="99"/>
      <c r="DG40" s="98"/>
      <c r="DH40" s="98"/>
      <c r="DI40" s="114"/>
      <c r="DJ40" s="115"/>
      <c r="DP40" s="96"/>
      <c r="DQ40" s="97"/>
      <c r="DR40" s="98"/>
      <c r="DS40" s="99"/>
      <c r="DT40" s="98"/>
      <c r="DU40" s="98"/>
      <c r="DV40" s="114"/>
      <c r="DW40" s="115"/>
      <c r="EC40" s="96"/>
      <c r="ED40" s="97"/>
      <c r="EE40" s="98"/>
      <c r="EF40" s="99"/>
      <c r="EG40" s="98"/>
      <c r="EH40" s="98"/>
      <c r="EI40" s="114"/>
      <c r="EJ40" s="115"/>
      <c r="EP40" s="96"/>
      <c r="EQ40" s="97"/>
      <c r="ER40" s="98"/>
      <c r="ES40" s="99"/>
      <c r="ET40" s="98"/>
      <c r="EU40" s="98"/>
      <c r="EV40" s="114"/>
      <c r="EW40" s="115"/>
    </row>
    <row r="41" ht="15.75" spans="2:154">
      <c r="B41" s="59"/>
      <c r="C41" s="60"/>
      <c r="D41" s="61"/>
      <c r="E41" s="62">
        <v>941</v>
      </c>
      <c r="F41" s="61">
        <v>94.1</v>
      </c>
      <c r="G41" s="61"/>
      <c r="H41" s="75"/>
      <c r="I41" s="76"/>
      <c r="O41" s="102">
        <f t="shared" ref="O41:T41" si="3">SUM(O5:O40)</f>
        <v>3897</v>
      </c>
      <c r="P41" s="103">
        <f t="shared" si="3"/>
        <v>4183</v>
      </c>
      <c r="Q41" s="104">
        <f t="shared" si="3"/>
        <v>434</v>
      </c>
      <c r="R41" s="105">
        <f t="shared" si="3"/>
        <v>7722</v>
      </c>
      <c r="S41" s="106">
        <f t="shared" si="3"/>
        <v>775.5</v>
      </c>
      <c r="T41" s="107">
        <f t="shared" si="3"/>
        <v>5403</v>
      </c>
      <c r="U41" s="108" t="s">
        <v>54</v>
      </c>
      <c r="V41" s="109"/>
      <c r="AB41" s="69"/>
      <c r="AC41" s="70"/>
      <c r="AD41" s="85"/>
      <c r="AE41" s="70">
        <v>213</v>
      </c>
      <c r="AF41" s="70">
        <v>21.3</v>
      </c>
      <c r="AG41" s="70"/>
      <c r="AH41" s="72"/>
      <c r="AI41" s="73"/>
      <c r="AJ41" s="86"/>
      <c r="AK41" s="77"/>
      <c r="AL41" s="87"/>
      <c r="AO41" s="69"/>
      <c r="AP41" s="70">
        <v>35</v>
      </c>
      <c r="AQ41" s="85"/>
      <c r="AR41" s="70"/>
      <c r="AS41" s="70"/>
      <c r="AT41" s="70"/>
      <c r="AU41" s="72"/>
      <c r="AV41" s="73"/>
      <c r="AW41" s="58"/>
      <c r="AX41" s="58"/>
      <c r="AY41" s="58"/>
      <c r="BB41" s="69"/>
      <c r="BC41" s="70">
        <v>72</v>
      </c>
      <c r="BD41" s="85"/>
      <c r="BE41" s="70"/>
      <c r="BF41" s="70"/>
      <c r="BG41" s="70"/>
      <c r="BH41" s="72"/>
      <c r="BI41" s="73"/>
      <c r="BJ41" s="58"/>
      <c r="BK41" s="58"/>
      <c r="BL41" s="58"/>
      <c r="BP41" s="96"/>
      <c r="BQ41" s="97"/>
      <c r="BR41" s="98"/>
      <c r="BS41" s="99"/>
      <c r="BT41" s="98"/>
      <c r="BU41" s="98"/>
      <c r="BV41" s="100"/>
      <c r="BW41" s="101"/>
      <c r="CC41" s="96"/>
      <c r="CD41" s="97"/>
      <c r="CE41" s="98"/>
      <c r="CF41" s="99"/>
      <c r="CG41" s="98"/>
      <c r="CH41" s="98"/>
      <c r="CI41" s="100"/>
      <c r="CJ41" s="101"/>
      <c r="CP41" s="96"/>
      <c r="CQ41" s="97"/>
      <c r="CR41" s="98"/>
      <c r="CS41" s="99"/>
      <c r="CT41" s="98"/>
      <c r="CU41" s="98"/>
      <c r="CV41" s="100"/>
      <c r="CW41" s="101"/>
      <c r="DC41" s="96"/>
      <c r="DD41" s="97"/>
      <c r="DE41" s="98"/>
      <c r="DF41" s="99"/>
      <c r="DG41" s="98"/>
      <c r="DH41" s="98"/>
      <c r="DI41" s="100"/>
      <c r="DJ41" s="101"/>
      <c r="DP41" s="96"/>
      <c r="DQ41" s="97"/>
      <c r="DR41" s="98"/>
      <c r="DS41" s="99"/>
      <c r="DT41" s="98"/>
      <c r="DU41" s="98"/>
      <c r="DV41" s="100"/>
      <c r="DW41" s="101"/>
      <c r="EC41" s="96"/>
      <c r="ED41" s="97"/>
      <c r="EE41" s="98"/>
      <c r="EF41" s="99"/>
      <c r="EG41" s="98"/>
      <c r="EH41" s="98"/>
      <c r="EI41" s="100"/>
      <c r="EJ41" s="101"/>
      <c r="EP41" s="96"/>
      <c r="EQ41" s="97"/>
      <c r="ER41" s="98"/>
      <c r="ES41" s="99"/>
      <c r="ET41" s="98"/>
      <c r="EU41" s="98"/>
      <c r="EV41" s="100"/>
      <c r="EW41" s="101"/>
    </row>
    <row r="42" ht="15.75" spans="2:154">
      <c r="B42" s="69"/>
      <c r="C42" s="112"/>
      <c r="D42" s="71"/>
      <c r="E42" s="58">
        <v>668</v>
      </c>
      <c r="F42" s="70">
        <v>66.8</v>
      </c>
      <c r="G42" s="70"/>
      <c r="H42" s="72"/>
      <c r="I42" s="73"/>
      <c r="AB42" s="59"/>
      <c r="AC42" s="60">
        <v>590</v>
      </c>
      <c r="AD42" s="61">
        <v>22</v>
      </c>
      <c r="AE42" s="62"/>
      <c r="AF42" s="61"/>
      <c r="AG42" s="61"/>
      <c r="AH42" s="75"/>
      <c r="AI42" s="76"/>
      <c r="AJ42" s="77"/>
      <c r="AK42" s="58"/>
      <c r="AL42" s="58"/>
      <c r="AO42" s="59"/>
      <c r="AP42" s="60">
        <v>60</v>
      </c>
      <c r="AQ42" s="61">
        <v>50</v>
      </c>
      <c r="AR42" s="62">
        <v>250</v>
      </c>
      <c r="AS42" s="61"/>
      <c r="AT42" s="61"/>
      <c r="AU42" s="75"/>
      <c r="AV42" s="84"/>
      <c r="AW42" s="58"/>
      <c r="AX42" s="58"/>
      <c r="AY42" s="58"/>
      <c r="BB42" s="59"/>
      <c r="BC42" s="60"/>
      <c r="BD42" s="61"/>
      <c r="BE42" s="62">
        <v>488</v>
      </c>
      <c r="BF42" s="61">
        <v>48.8</v>
      </c>
      <c r="BG42" s="61"/>
      <c r="BH42" s="75"/>
      <c r="BI42" s="84"/>
      <c r="BJ42" s="58"/>
      <c r="BK42" s="58"/>
      <c r="BL42" s="58"/>
      <c r="BP42" s="102">
        <f t="shared" ref="BP42:BU42" si="4">SUM(BP5:BP41)</f>
        <v>0</v>
      </c>
      <c r="BQ42" s="103">
        <f t="shared" si="4"/>
        <v>0</v>
      </c>
      <c r="BR42" s="104">
        <f t="shared" si="4"/>
        <v>0</v>
      </c>
      <c r="BS42" s="105">
        <f t="shared" si="4"/>
        <v>0</v>
      </c>
      <c r="BT42" s="106">
        <f t="shared" si="4"/>
        <v>0</v>
      </c>
      <c r="BU42" s="107">
        <f t="shared" si="4"/>
        <v>0</v>
      </c>
      <c r="BV42" s="108" t="s">
        <v>54</v>
      </c>
      <c r="BW42" s="109"/>
      <c r="CC42" s="102">
        <f t="shared" ref="CC42:CH42" si="5">SUM(CC5:CC41)</f>
        <v>0</v>
      </c>
      <c r="CD42" s="103">
        <f t="shared" si="5"/>
        <v>0</v>
      </c>
      <c r="CE42" s="104">
        <f t="shared" si="5"/>
        <v>0</v>
      </c>
      <c r="CF42" s="105">
        <f t="shared" si="5"/>
        <v>0</v>
      </c>
      <c r="CG42" s="106">
        <f t="shared" si="5"/>
        <v>0</v>
      </c>
      <c r="CH42" s="107">
        <f t="shared" si="5"/>
        <v>0</v>
      </c>
      <c r="CI42" s="108" t="s">
        <v>54</v>
      </c>
      <c r="CJ42" s="109"/>
      <c r="CP42" s="102">
        <f t="shared" ref="CP42:CU42" si="6">SUM(CP5:CP41)</f>
        <v>0</v>
      </c>
      <c r="CQ42" s="103">
        <f t="shared" si="6"/>
        <v>0</v>
      </c>
      <c r="CR42" s="104">
        <f t="shared" si="6"/>
        <v>0</v>
      </c>
      <c r="CS42" s="105">
        <f t="shared" si="6"/>
        <v>0</v>
      </c>
      <c r="CT42" s="106">
        <f t="shared" si="6"/>
        <v>0</v>
      </c>
      <c r="CU42" s="107">
        <f t="shared" si="6"/>
        <v>0</v>
      </c>
      <c r="CV42" s="108" t="s">
        <v>54</v>
      </c>
      <c r="CW42" s="109"/>
      <c r="DC42" s="102">
        <f t="shared" ref="DC42:DH42" si="7">SUM(DC5:DC41)</f>
        <v>0</v>
      </c>
      <c r="DD42" s="103">
        <f t="shared" si="7"/>
        <v>0</v>
      </c>
      <c r="DE42" s="104">
        <f t="shared" si="7"/>
        <v>0</v>
      </c>
      <c r="DF42" s="105">
        <f t="shared" si="7"/>
        <v>0</v>
      </c>
      <c r="DG42" s="106">
        <f t="shared" si="7"/>
        <v>0</v>
      </c>
      <c r="DH42" s="107">
        <f t="shared" si="7"/>
        <v>0</v>
      </c>
      <c r="DI42" s="108" t="s">
        <v>54</v>
      </c>
      <c r="DJ42" s="109"/>
      <c r="DP42" s="102">
        <f t="shared" ref="DP42:DU42" si="8">SUM(DP5:DP41)</f>
        <v>0</v>
      </c>
      <c r="DQ42" s="103">
        <f t="shared" si="8"/>
        <v>0</v>
      </c>
      <c r="DR42" s="104">
        <f t="shared" si="8"/>
        <v>0</v>
      </c>
      <c r="DS42" s="105">
        <f t="shared" si="8"/>
        <v>0</v>
      </c>
      <c r="DT42" s="106">
        <f t="shared" si="8"/>
        <v>0</v>
      </c>
      <c r="DU42" s="107">
        <f t="shared" si="8"/>
        <v>0</v>
      </c>
      <c r="DV42" s="108" t="s">
        <v>54</v>
      </c>
      <c r="DW42" s="109"/>
      <c r="EC42" s="102">
        <f t="shared" ref="EC42:EH42" si="9">SUM(EC5:EC41)</f>
        <v>0</v>
      </c>
      <c r="ED42" s="103">
        <f t="shared" si="9"/>
        <v>0</v>
      </c>
      <c r="EE42" s="104">
        <f t="shared" si="9"/>
        <v>0</v>
      </c>
      <c r="EF42" s="105">
        <f t="shared" si="9"/>
        <v>0</v>
      </c>
      <c r="EG42" s="106">
        <f t="shared" si="9"/>
        <v>0</v>
      </c>
      <c r="EH42" s="107">
        <f t="shared" si="9"/>
        <v>0</v>
      </c>
      <c r="EI42" s="108" t="s">
        <v>54</v>
      </c>
      <c r="EJ42" s="109"/>
      <c r="EP42" s="102">
        <f t="shared" ref="EP42:EU42" si="10">SUM(EP5:EP41)</f>
        <v>0</v>
      </c>
      <c r="EQ42" s="103">
        <f t="shared" si="10"/>
        <v>0</v>
      </c>
      <c r="ER42" s="104">
        <f t="shared" si="10"/>
        <v>0</v>
      </c>
      <c r="ES42" s="105">
        <f t="shared" si="10"/>
        <v>0</v>
      </c>
      <c r="ET42" s="106">
        <f t="shared" si="10"/>
        <v>0</v>
      </c>
      <c r="EU42" s="107">
        <f t="shared" si="10"/>
        <v>0</v>
      </c>
      <c r="EV42" s="108" t="s">
        <v>54</v>
      </c>
      <c r="EW42" s="109"/>
    </row>
    <row r="43" ht="15.75" spans="2:154">
      <c r="B43" s="59"/>
      <c r="C43" s="60">
        <v>390</v>
      </c>
      <c r="D43" s="61"/>
      <c r="E43" s="62"/>
      <c r="F43" s="61"/>
      <c r="G43" s="61"/>
      <c r="H43" s="75"/>
      <c r="I43" s="76"/>
      <c r="AB43" s="69"/>
      <c r="AC43" s="70"/>
      <c r="AD43" s="71"/>
      <c r="AE43" s="70">
        <v>134</v>
      </c>
      <c r="AF43" s="70">
        <v>13.4</v>
      </c>
      <c r="AG43" s="70"/>
      <c r="AH43" s="72"/>
      <c r="AI43" s="73"/>
      <c r="AJ43" s="77"/>
      <c r="AK43" s="58"/>
      <c r="AL43" s="58"/>
      <c r="AO43" s="69"/>
      <c r="AP43" s="70"/>
      <c r="AQ43" s="85"/>
      <c r="AR43" s="70">
        <v>378</v>
      </c>
      <c r="AS43" s="70">
        <v>37.8</v>
      </c>
      <c r="AT43" s="70"/>
      <c r="AU43" s="72"/>
      <c r="AV43" s="73"/>
      <c r="AW43" s="58"/>
      <c r="AX43" s="58"/>
      <c r="AY43" s="58"/>
      <c r="BB43" s="69"/>
      <c r="BC43" s="70">
        <v>10</v>
      </c>
      <c r="BD43" s="85"/>
      <c r="BE43" s="70"/>
      <c r="BF43" s="70"/>
      <c r="BG43" s="70"/>
      <c r="BH43" s="72"/>
      <c r="BI43" s="73"/>
      <c r="BJ43" s="58"/>
      <c r="BK43" s="58"/>
      <c r="BL43" s="58"/>
    </row>
    <row r="44" spans="2:154">
      <c r="B44" s="96"/>
      <c r="C44" s="97">
        <v>648</v>
      </c>
      <c r="D44" s="98">
        <v>50</v>
      </c>
      <c r="E44" s="99"/>
      <c r="F44" s="98"/>
      <c r="G44" s="98"/>
      <c r="H44" s="72"/>
      <c r="I44" s="73"/>
      <c r="O44" s="33" t="s">
        <v>68</v>
      </c>
      <c r="P44" s="34"/>
      <c r="Q44" s="34"/>
      <c r="R44" s="34"/>
      <c r="S44" s="34"/>
      <c r="T44" s="34"/>
      <c r="U44" s="34"/>
      <c r="V44" s="34"/>
      <c r="W44" s="34"/>
      <c r="X44" s="34"/>
      <c r="Y44" s="35"/>
      <c r="AB44" s="59"/>
      <c r="AC44" s="60"/>
      <c r="AD44" s="88"/>
      <c r="AE44" s="62"/>
      <c r="AF44" s="61"/>
      <c r="AG44" s="61"/>
      <c r="AH44" s="75"/>
      <c r="AI44" s="76"/>
      <c r="AJ44" s="77"/>
      <c r="AK44" s="58"/>
      <c r="AL44" s="58"/>
      <c r="AO44" s="59"/>
      <c r="AP44" s="60"/>
      <c r="AQ44" s="61"/>
      <c r="AR44" s="62">
        <v>416</v>
      </c>
      <c r="AS44" s="61">
        <v>41.6</v>
      </c>
      <c r="AT44" s="61"/>
      <c r="AU44" s="75"/>
      <c r="AV44" s="84"/>
      <c r="AW44" s="58"/>
      <c r="AX44" s="58"/>
      <c r="AY44" s="58"/>
      <c r="BB44" s="59"/>
      <c r="BC44" s="60"/>
      <c r="BD44" s="61"/>
      <c r="BE44" s="62"/>
      <c r="BF44" s="61"/>
      <c r="BG44" s="61"/>
      <c r="BH44" s="75"/>
      <c r="BI44" s="84"/>
      <c r="BJ44" s="58"/>
      <c r="BK44" s="58"/>
      <c r="BL44" s="58"/>
    </row>
    <row r="45" ht="15.75" spans="2:154">
      <c r="B45" s="59"/>
      <c r="C45" s="60"/>
      <c r="D45" s="61"/>
      <c r="E45" s="62">
        <v>550</v>
      </c>
      <c r="F45" s="61">
        <v>55</v>
      </c>
      <c r="G45" s="61"/>
      <c r="H45" s="75"/>
      <c r="I45" s="76"/>
      <c r="O45" s="36"/>
      <c r="P45" s="37"/>
      <c r="Q45" s="37"/>
      <c r="R45" s="37"/>
      <c r="S45" s="37"/>
      <c r="T45" s="37"/>
      <c r="U45" s="37"/>
      <c r="V45" s="37"/>
      <c r="W45" s="37"/>
      <c r="X45" s="37"/>
      <c r="Y45" s="38"/>
      <c r="AB45" s="69"/>
      <c r="AC45" s="70"/>
      <c r="AD45" s="71"/>
      <c r="AE45" s="70"/>
      <c r="AF45" s="70"/>
      <c r="AG45" s="70"/>
      <c r="AH45" s="72"/>
      <c r="AI45" s="73"/>
      <c r="AJ45" s="89" t="s">
        <v>44</v>
      </c>
      <c r="AK45" s="90" t="s">
        <v>45</v>
      </c>
      <c r="AL45" s="90" t="s">
        <v>46</v>
      </c>
      <c r="AM45" s="58"/>
      <c r="AO45" s="69"/>
      <c r="AP45" s="70">
        <v>187</v>
      </c>
      <c r="AQ45" s="85">
        <v>13</v>
      </c>
      <c r="AR45" s="70"/>
      <c r="AS45" s="70"/>
      <c r="AT45" s="70"/>
      <c r="AU45" s="72"/>
      <c r="AV45" s="73"/>
      <c r="AW45" s="58"/>
      <c r="AX45" s="58"/>
      <c r="AY45" s="58"/>
      <c r="BB45" s="69"/>
      <c r="BC45" s="70"/>
      <c r="BD45" s="85"/>
      <c r="BE45" s="70"/>
      <c r="BF45" s="70"/>
      <c r="BG45" s="70"/>
      <c r="BH45" s="72"/>
      <c r="BI45" s="73"/>
      <c r="BJ45" s="58"/>
      <c r="BK45" s="58"/>
      <c r="BL45" s="58"/>
    </row>
    <row r="46" ht="15.75" spans="2:154">
      <c r="B46" s="59"/>
      <c r="C46" s="60"/>
      <c r="D46" s="61"/>
      <c r="E46" s="62">
        <v>458</v>
      </c>
      <c r="F46" s="61">
        <v>22.9</v>
      </c>
      <c r="G46" s="61"/>
      <c r="H46" s="75"/>
      <c r="I46" s="76"/>
      <c r="O46" s="39" t="s">
        <v>12</v>
      </c>
      <c r="P46" s="40" t="s">
        <v>13</v>
      </c>
      <c r="Q46" s="41"/>
      <c r="R46" s="42" t="s">
        <v>14</v>
      </c>
      <c r="S46" s="43"/>
      <c r="T46" s="44" t="s">
        <v>15</v>
      </c>
      <c r="U46" s="45"/>
      <c r="V46" s="46"/>
      <c r="W46" s="47" t="s">
        <v>16</v>
      </c>
      <c r="X46" s="48"/>
      <c r="Y46" s="49">
        <f>P84+R84</f>
        <v>11825</v>
      </c>
      <c r="AB46" s="59"/>
      <c r="AC46" s="60"/>
      <c r="AD46" s="61"/>
      <c r="AE46" s="62"/>
      <c r="AF46" s="61"/>
      <c r="AG46" s="61"/>
      <c r="AH46" s="75"/>
      <c r="AI46" s="76"/>
      <c r="AJ46" s="92" t="s">
        <v>47</v>
      </c>
      <c r="AK46" s="93" t="s">
        <v>48</v>
      </c>
      <c r="AL46" s="93" t="s">
        <v>51</v>
      </c>
      <c r="AO46" s="59"/>
      <c r="AP46" s="60"/>
      <c r="AQ46" s="61"/>
      <c r="AR46" s="62">
        <v>478</v>
      </c>
      <c r="AS46" s="61">
        <v>47.8</v>
      </c>
      <c r="AT46" s="61"/>
      <c r="AU46" s="75"/>
      <c r="AV46" s="84"/>
      <c r="AW46" s="58"/>
      <c r="AX46" s="58"/>
      <c r="AY46" s="58"/>
      <c r="BB46" s="59"/>
      <c r="BC46" s="60"/>
      <c r="BD46" s="61"/>
      <c r="BE46" s="62"/>
      <c r="BF46" s="61"/>
      <c r="BG46" s="61"/>
      <c r="BH46" s="75"/>
      <c r="BI46" s="84"/>
      <c r="BJ46" s="58"/>
      <c r="BK46" s="58"/>
      <c r="BL46" s="58"/>
    </row>
    <row r="47" ht="15.75" spans="2:154">
      <c r="B47" s="69"/>
      <c r="C47" s="112"/>
      <c r="D47" s="71"/>
      <c r="E47" s="58"/>
      <c r="F47" s="70"/>
      <c r="G47" s="70"/>
      <c r="H47" s="72"/>
      <c r="I47" s="73"/>
      <c r="O47" s="50"/>
      <c r="P47" s="51" t="s">
        <v>17</v>
      </c>
      <c r="Q47" s="51" t="s">
        <v>18</v>
      </c>
      <c r="R47" s="52" t="s">
        <v>17</v>
      </c>
      <c r="S47" s="52" t="s">
        <v>18</v>
      </c>
      <c r="T47" s="53"/>
      <c r="U47" s="54"/>
      <c r="V47" s="55"/>
      <c r="W47" s="56" t="s">
        <v>19</v>
      </c>
      <c r="X47" s="57"/>
      <c r="Y47" s="49">
        <f>Q84+S84</f>
        <v>1109.25</v>
      </c>
      <c r="AB47" s="69"/>
      <c r="AC47" s="70"/>
      <c r="AD47" s="71"/>
      <c r="AE47" s="70"/>
      <c r="AF47" s="70"/>
      <c r="AG47" s="70"/>
      <c r="AH47" s="72"/>
      <c r="AI47" s="73"/>
      <c r="AJ47" s="94" t="s">
        <v>52</v>
      </c>
      <c r="AK47" s="95" t="s">
        <v>27</v>
      </c>
      <c r="AL47" s="95" t="s">
        <v>43</v>
      </c>
      <c r="AO47" s="69"/>
      <c r="AP47" s="70"/>
      <c r="AQ47" s="85"/>
      <c r="AR47" s="70">
        <v>460</v>
      </c>
      <c r="AS47" s="70">
        <v>69</v>
      </c>
      <c r="AT47" s="70"/>
      <c r="AU47" s="72"/>
      <c r="AV47" s="73"/>
      <c r="AW47" s="58"/>
      <c r="BB47" s="96"/>
      <c r="BC47" s="97"/>
      <c r="BD47" s="98"/>
      <c r="BE47" s="99"/>
      <c r="BF47" s="98"/>
      <c r="BG47" s="98"/>
      <c r="BH47" s="72"/>
      <c r="BI47" s="73"/>
    </row>
    <row r="48" ht="15.75" spans="2:154">
      <c r="B48" s="102">
        <f t="shared" ref="B48:G48" si="11">SUM(B5:B47)</f>
        <v>1406</v>
      </c>
      <c r="C48" s="103">
        <f t="shared" si="11"/>
        <v>8938</v>
      </c>
      <c r="D48" s="104">
        <f t="shared" si="11"/>
        <v>745</v>
      </c>
      <c r="E48" s="105">
        <f t="shared" si="11"/>
        <v>12302</v>
      </c>
      <c r="F48" s="106">
        <f t="shared" si="11"/>
        <v>1128.35</v>
      </c>
      <c r="G48" s="107">
        <f t="shared" si="11"/>
        <v>11298</v>
      </c>
      <c r="H48" s="108" t="s">
        <v>54</v>
      </c>
      <c r="I48" s="109"/>
      <c r="O48" s="59">
        <v>3110</v>
      </c>
      <c r="P48" s="60"/>
      <c r="Q48" s="61"/>
      <c r="R48" s="62">
        <v>350</v>
      </c>
      <c r="S48" s="61">
        <v>35</v>
      </c>
      <c r="T48" s="61">
        <v>600</v>
      </c>
      <c r="U48" s="63" t="s">
        <v>69</v>
      </c>
      <c r="V48" s="64"/>
      <c r="W48" s="65" t="s">
        <v>21</v>
      </c>
      <c r="X48" s="66"/>
      <c r="Y48" s="67">
        <f>T84</f>
        <v>4147</v>
      </c>
      <c r="AB48" s="59"/>
      <c r="AC48" s="60"/>
      <c r="AD48" s="61"/>
      <c r="AE48" s="62"/>
      <c r="AF48" s="61"/>
      <c r="AG48" s="61"/>
      <c r="AH48" s="75"/>
      <c r="AI48" s="76"/>
      <c r="AJ48" s="77"/>
      <c r="AK48" s="77"/>
      <c r="AL48" s="87"/>
      <c r="AO48" s="59"/>
      <c r="AP48" s="60"/>
      <c r="AQ48" s="61"/>
      <c r="AR48" s="62">
        <v>325</v>
      </c>
      <c r="AS48" s="61">
        <v>32.5</v>
      </c>
      <c r="AT48" s="61"/>
      <c r="AU48" s="75"/>
      <c r="AV48" s="84"/>
      <c r="AW48" s="58"/>
      <c r="BB48" s="59"/>
      <c r="BC48" s="60"/>
      <c r="BD48" s="61"/>
      <c r="BE48" s="62"/>
      <c r="BF48" s="61"/>
      <c r="BG48" s="61"/>
      <c r="BH48" s="75"/>
      <c r="BI48" s="76"/>
    </row>
    <row r="49" ht="15.75" spans="2:64">
      <c r="O49" s="69"/>
      <c r="P49" s="70">
        <v>137</v>
      </c>
      <c r="Q49" s="71">
        <v>0</v>
      </c>
      <c r="R49" s="70"/>
      <c r="S49" s="70"/>
      <c r="T49" s="70">
        <v>52</v>
      </c>
      <c r="U49" s="72" t="s">
        <v>70</v>
      </c>
      <c r="V49" s="73"/>
      <c r="W49" s="74" t="s">
        <v>26</v>
      </c>
      <c r="X49" s="57"/>
      <c r="Y49" s="49">
        <f>O84+Y46+Y47-Y48-R84-S84</f>
        <v>4841</v>
      </c>
      <c r="AB49" s="69"/>
      <c r="AC49" s="70"/>
      <c r="AD49" s="71"/>
      <c r="AE49" s="70"/>
      <c r="AF49" s="70"/>
      <c r="AG49" s="70"/>
      <c r="AH49" s="72"/>
      <c r="AI49" s="73"/>
      <c r="AJ49" s="58"/>
      <c r="AK49" s="58"/>
      <c r="AL49" s="58"/>
      <c r="AO49" s="69"/>
      <c r="AP49" s="70"/>
      <c r="AQ49" s="85"/>
      <c r="AR49" s="70"/>
      <c r="AS49" s="70"/>
      <c r="AT49" s="70"/>
      <c r="AU49" s="72"/>
      <c r="AV49" s="73"/>
      <c r="AW49" s="58"/>
      <c r="BB49" s="96"/>
      <c r="BC49" s="97"/>
      <c r="BD49" s="98"/>
      <c r="BE49" s="99"/>
      <c r="BF49" s="98"/>
      <c r="BG49" s="98"/>
      <c r="BH49" s="72"/>
      <c r="BI49" s="73"/>
    </row>
    <row r="50" ht="15.75" spans="2:64">
      <c r="O50" s="59"/>
      <c r="P50" s="60">
        <v>340</v>
      </c>
      <c r="Q50" s="61">
        <v>60</v>
      </c>
      <c r="R50" s="62"/>
      <c r="S50" s="61"/>
      <c r="T50" s="61">
        <v>2920</v>
      </c>
      <c r="U50" s="75" t="s">
        <v>48</v>
      </c>
      <c r="V50" s="76"/>
      <c r="W50" s="77"/>
      <c r="X50" s="78" t="s">
        <v>30</v>
      </c>
      <c r="Y50" s="79">
        <f>Y47/4</f>
        <v>277.3125</v>
      </c>
      <c r="AB50" s="59"/>
      <c r="AC50" s="60"/>
      <c r="AD50" s="61"/>
      <c r="AE50" s="62"/>
      <c r="AF50" s="61"/>
      <c r="AG50" s="61"/>
      <c r="AH50" s="75"/>
      <c r="AI50" s="76"/>
      <c r="AO50" s="59"/>
      <c r="AP50" s="60"/>
      <c r="AQ50" s="61"/>
      <c r="AR50" s="62"/>
      <c r="AS50" s="61"/>
      <c r="AT50" s="61"/>
      <c r="AU50" s="75"/>
      <c r="AV50" s="84"/>
      <c r="AW50" s="58"/>
      <c r="BB50" s="102">
        <f t="shared" ref="BB50:BG50" si="12">SUM(BB28:BB49)</f>
        <v>572</v>
      </c>
      <c r="BC50" s="103">
        <f t="shared" si="12"/>
        <v>2945</v>
      </c>
      <c r="BD50" s="104">
        <f t="shared" si="12"/>
        <v>339</v>
      </c>
      <c r="BE50" s="105">
        <f t="shared" si="12"/>
        <v>2784</v>
      </c>
      <c r="BF50" s="106">
        <f t="shared" si="12"/>
        <v>222</v>
      </c>
      <c r="BG50" s="107">
        <f t="shared" si="12"/>
        <v>511</v>
      </c>
      <c r="BH50" s="108" t="s">
        <v>54</v>
      </c>
      <c r="BI50" s="109"/>
    </row>
    <row r="51" spans="2:64">
      <c r="B51" s="33" t="s">
        <v>71</v>
      </c>
      <c r="C51" s="34"/>
      <c r="D51" s="34"/>
      <c r="E51" s="34"/>
      <c r="F51" s="34"/>
      <c r="G51" s="34"/>
      <c r="H51" s="34"/>
      <c r="I51" s="34"/>
      <c r="J51" s="34"/>
      <c r="K51" s="34"/>
      <c r="L51" s="35"/>
      <c r="O51" s="69"/>
      <c r="P51" s="70"/>
      <c r="Q51" s="71">
        <v>50</v>
      </c>
      <c r="R51" s="70">
        <v>506</v>
      </c>
      <c r="S51" s="70"/>
      <c r="T51" s="70">
        <v>390</v>
      </c>
      <c r="U51" s="72" t="s">
        <v>24</v>
      </c>
      <c r="V51" s="73"/>
      <c r="W51" s="77"/>
      <c r="X51" s="80" t="s">
        <v>34</v>
      </c>
      <c r="Y51" s="81">
        <f>Y47/6</f>
        <v>184.875</v>
      </c>
      <c r="AB51" s="96"/>
      <c r="AC51" s="97"/>
      <c r="AD51" s="98"/>
      <c r="AE51" s="99"/>
      <c r="AF51" s="98"/>
      <c r="AG51" s="98"/>
      <c r="AH51" s="72"/>
      <c r="AI51" s="73"/>
      <c r="AO51" s="96"/>
      <c r="AP51" s="97"/>
      <c r="AQ51" s="98"/>
      <c r="AR51" s="99"/>
      <c r="AS51" s="98"/>
      <c r="AT51" s="98"/>
      <c r="AU51" s="72"/>
      <c r="AV51" s="73"/>
    </row>
    <row r="52" ht="15.75" spans="2:64">
      <c r="B52" s="36"/>
      <c r="C52" s="37"/>
      <c r="D52" s="37"/>
      <c r="E52" s="37"/>
      <c r="F52" s="37"/>
      <c r="G52" s="37"/>
      <c r="H52" s="37"/>
      <c r="I52" s="37"/>
      <c r="J52" s="37"/>
      <c r="K52" s="37"/>
      <c r="L52" s="38"/>
      <c r="O52" s="59"/>
      <c r="P52" s="60">
        <v>152</v>
      </c>
      <c r="Q52" s="61">
        <v>0</v>
      </c>
      <c r="R52" s="62"/>
      <c r="S52" s="61"/>
      <c r="T52" s="61">
        <v>185</v>
      </c>
      <c r="U52" s="75" t="s">
        <v>72</v>
      </c>
      <c r="V52" s="76"/>
      <c r="W52" s="77"/>
      <c r="X52" s="82" t="s">
        <v>37</v>
      </c>
      <c r="Y52" s="83">
        <f>Y47/8</f>
        <v>138.65625</v>
      </c>
      <c r="AB52" s="59"/>
      <c r="AC52" s="60"/>
      <c r="AD52" s="61"/>
      <c r="AE52" s="62"/>
      <c r="AF52" s="61"/>
      <c r="AG52" s="61"/>
      <c r="AH52" s="75"/>
      <c r="AI52" s="76"/>
      <c r="AO52" s="59"/>
      <c r="AP52" s="60"/>
      <c r="AQ52" s="61"/>
      <c r="AR52" s="62"/>
      <c r="AS52" s="61"/>
      <c r="AT52" s="61"/>
      <c r="AU52" s="75"/>
      <c r="AV52" s="76"/>
    </row>
    <row r="53" ht="15.75" spans="2:64">
      <c r="B53" s="39" t="s">
        <v>12</v>
      </c>
      <c r="C53" s="40" t="s">
        <v>13</v>
      </c>
      <c r="D53" s="41"/>
      <c r="E53" s="42" t="s">
        <v>14</v>
      </c>
      <c r="F53" s="43"/>
      <c r="G53" s="44" t="s">
        <v>15</v>
      </c>
      <c r="H53" s="45"/>
      <c r="I53" s="46"/>
      <c r="J53" s="47" t="s">
        <v>16</v>
      </c>
      <c r="K53" s="48"/>
      <c r="L53" s="49">
        <f>C80+E80</f>
        <v>11953</v>
      </c>
      <c r="O53" s="69"/>
      <c r="P53" s="70">
        <v>230</v>
      </c>
      <c r="Q53" s="85">
        <v>0</v>
      </c>
      <c r="R53" s="70"/>
      <c r="S53" s="70"/>
      <c r="T53" s="70"/>
      <c r="U53" s="72"/>
      <c r="V53" s="73"/>
      <c r="W53" s="86"/>
      <c r="X53" s="77"/>
      <c r="Y53" s="87"/>
      <c r="AB53" s="96"/>
      <c r="AC53" s="97"/>
      <c r="AD53" s="98"/>
      <c r="AE53" s="99"/>
      <c r="AF53" s="98"/>
      <c r="AG53" s="98"/>
      <c r="AH53" s="72"/>
      <c r="AI53" s="73"/>
      <c r="AO53" s="96"/>
      <c r="AP53" s="97"/>
      <c r="AQ53" s="98"/>
      <c r="AR53" s="99"/>
      <c r="AS53" s="98"/>
      <c r="AT53" s="98"/>
      <c r="AU53" s="72"/>
      <c r="AV53" s="73"/>
      <c r="BB53" s="33" t="s">
        <v>73</v>
      </c>
      <c r="BC53" s="34"/>
      <c r="BD53" s="34"/>
      <c r="BE53" s="34"/>
      <c r="BF53" s="34"/>
      <c r="BG53" s="34"/>
      <c r="BH53" s="34"/>
      <c r="BI53" s="34"/>
      <c r="BJ53" s="34"/>
      <c r="BK53" s="34"/>
      <c r="BL53" s="35"/>
    </row>
    <row r="54" ht="15.75" spans="2:64">
      <c r="B54" s="50"/>
      <c r="C54" s="51" t="s">
        <v>17</v>
      </c>
      <c r="D54" s="51" t="s">
        <v>18</v>
      </c>
      <c r="E54" s="52" t="s">
        <v>17</v>
      </c>
      <c r="F54" s="52" t="s">
        <v>18</v>
      </c>
      <c r="G54" s="53"/>
      <c r="H54" s="54"/>
      <c r="I54" s="55"/>
      <c r="J54" s="56" t="s">
        <v>19</v>
      </c>
      <c r="K54" s="57"/>
      <c r="L54" s="49">
        <f>D80+F80</f>
        <v>1179.3</v>
      </c>
      <c r="O54" s="59"/>
      <c r="P54" s="60"/>
      <c r="Q54" s="61"/>
      <c r="R54" s="62">
        <v>478</v>
      </c>
      <c r="S54" s="61">
        <v>47.8</v>
      </c>
      <c r="T54" s="61"/>
      <c r="U54" s="75"/>
      <c r="V54" s="76"/>
      <c r="W54" s="77"/>
      <c r="X54" s="58"/>
      <c r="Y54" s="58"/>
      <c r="AB54" s="59"/>
      <c r="AC54" s="60"/>
      <c r="AD54" s="61"/>
      <c r="AE54" s="62"/>
      <c r="AF54" s="61"/>
      <c r="AG54" s="61"/>
      <c r="AH54" s="75"/>
      <c r="AI54" s="76"/>
      <c r="AO54" s="102">
        <f t="shared" ref="AO54:AT54" si="13">SUM(AO28:AO53)</f>
        <v>1761</v>
      </c>
      <c r="AP54" s="103">
        <f t="shared" si="13"/>
        <v>4263</v>
      </c>
      <c r="AQ54" s="104">
        <f t="shared" si="13"/>
        <v>476</v>
      </c>
      <c r="AR54" s="105">
        <f t="shared" si="13"/>
        <v>4530</v>
      </c>
      <c r="AS54" s="106">
        <f t="shared" si="13"/>
        <v>451</v>
      </c>
      <c r="AT54" s="107">
        <f t="shared" si="13"/>
        <v>730</v>
      </c>
      <c r="AU54" s="108" t="s">
        <v>54</v>
      </c>
      <c r="AV54" s="109"/>
      <c r="BB54" s="36"/>
      <c r="BC54" s="37"/>
      <c r="BD54" s="37"/>
      <c r="BE54" s="37"/>
      <c r="BF54" s="37"/>
      <c r="BG54" s="37"/>
      <c r="BH54" s="37"/>
      <c r="BI54" s="37"/>
      <c r="BJ54" s="37"/>
      <c r="BK54" s="37"/>
      <c r="BL54" s="38"/>
    </row>
    <row r="55" ht="15.75" spans="2:64">
      <c r="B55" s="59">
        <v>562</v>
      </c>
      <c r="C55" s="60">
        <v>426</v>
      </c>
      <c r="D55" s="61">
        <v>44</v>
      </c>
      <c r="E55" s="62"/>
      <c r="F55" s="61"/>
      <c r="G55" s="61">
        <v>50</v>
      </c>
      <c r="H55" s="63" t="s">
        <v>74</v>
      </c>
      <c r="I55" s="64"/>
      <c r="J55" s="65" t="s">
        <v>21</v>
      </c>
      <c r="K55" s="66"/>
      <c r="L55" s="67">
        <f>G80</f>
        <v>346</v>
      </c>
      <c r="O55" s="69"/>
      <c r="P55" s="70">
        <v>25</v>
      </c>
      <c r="Q55" s="71">
        <v>0</v>
      </c>
      <c r="R55" s="70"/>
      <c r="S55" s="70"/>
      <c r="T55" s="70"/>
      <c r="U55" s="72"/>
      <c r="V55" s="73"/>
      <c r="W55" s="77"/>
      <c r="X55" s="58"/>
      <c r="Y55" s="58"/>
      <c r="AB55" s="102">
        <f t="shared" ref="AB55:AG55" si="14">SUM(AB36:AB54)</f>
        <v>412</v>
      </c>
      <c r="AC55" s="103">
        <f t="shared" si="14"/>
        <v>1139</v>
      </c>
      <c r="AD55" s="104">
        <f t="shared" si="14"/>
        <v>95</v>
      </c>
      <c r="AE55" s="105">
        <f t="shared" si="14"/>
        <v>1258</v>
      </c>
      <c r="AF55" s="106">
        <f t="shared" si="14"/>
        <v>121.5</v>
      </c>
      <c r="AG55" s="107">
        <f t="shared" si="14"/>
        <v>353</v>
      </c>
      <c r="AH55" s="108" t="s">
        <v>54</v>
      </c>
      <c r="AI55" s="109"/>
      <c r="BB55" s="39" t="s">
        <v>12</v>
      </c>
      <c r="BC55" s="40" t="s">
        <v>13</v>
      </c>
      <c r="BD55" s="41"/>
      <c r="BE55" s="42" t="s">
        <v>14</v>
      </c>
      <c r="BF55" s="43"/>
      <c r="BG55" s="44" t="s">
        <v>15</v>
      </c>
      <c r="BH55" s="45"/>
      <c r="BI55" s="46"/>
      <c r="BJ55" s="47" t="s">
        <v>16</v>
      </c>
      <c r="BK55" s="48"/>
      <c r="BL55" s="49">
        <f>BC81+BE81</f>
        <v>9379</v>
      </c>
    </row>
    <row r="56" ht="15.75" spans="2:64">
      <c r="B56" s="69">
        <v>50</v>
      </c>
      <c r="C56" s="70"/>
      <c r="D56" s="71"/>
      <c r="E56" s="70">
        <v>595</v>
      </c>
      <c r="F56" s="70">
        <v>59.5</v>
      </c>
      <c r="G56" s="70">
        <v>188</v>
      </c>
      <c r="H56" s="72" t="s">
        <v>22</v>
      </c>
      <c r="I56" s="73"/>
      <c r="J56" s="74" t="s">
        <v>26</v>
      </c>
      <c r="K56" s="57"/>
      <c r="L56" s="49">
        <f>B80+L53+L54-L55-E80-F80</f>
        <v>4506</v>
      </c>
      <c r="O56" s="59"/>
      <c r="P56" s="60">
        <v>170</v>
      </c>
      <c r="Q56" s="88">
        <v>30</v>
      </c>
      <c r="R56" s="62"/>
      <c r="S56" s="61"/>
      <c r="T56" s="61"/>
      <c r="U56" s="75"/>
      <c r="V56" s="76"/>
      <c r="W56" s="77"/>
      <c r="X56" s="58"/>
      <c r="Y56" s="58"/>
      <c r="BB56" s="50"/>
      <c r="BC56" s="51" t="s">
        <v>17</v>
      </c>
      <c r="BD56" s="51" t="s">
        <v>18</v>
      </c>
      <c r="BE56" s="52" t="s">
        <v>17</v>
      </c>
      <c r="BF56" s="52" t="s">
        <v>18</v>
      </c>
      <c r="BG56" s="53"/>
      <c r="BH56" s="54"/>
      <c r="BI56" s="55"/>
      <c r="BJ56" s="56" t="s">
        <v>19</v>
      </c>
      <c r="BK56" s="57"/>
      <c r="BL56" s="49">
        <f>BD81+BF81</f>
        <v>911.8</v>
      </c>
    </row>
    <row r="57" ht="15.75" spans="2:64">
      <c r="B57" s="59">
        <v>3</v>
      </c>
      <c r="C57" s="60"/>
      <c r="D57" s="61"/>
      <c r="E57" s="62"/>
      <c r="F57" s="61"/>
      <c r="G57" s="61">
        <v>36</v>
      </c>
      <c r="H57" s="75" t="s">
        <v>75</v>
      </c>
      <c r="I57" s="76"/>
      <c r="J57" s="77"/>
      <c r="K57" s="78" t="s">
        <v>30</v>
      </c>
      <c r="L57" s="79">
        <f>L54/4</f>
        <v>294.825</v>
      </c>
      <c r="O57" s="69"/>
      <c r="P57" s="70"/>
      <c r="Q57" s="71"/>
      <c r="R57" s="70">
        <v>290</v>
      </c>
      <c r="S57" s="70">
        <v>29</v>
      </c>
      <c r="T57" s="70"/>
      <c r="U57" s="72"/>
      <c r="V57" s="73"/>
      <c r="W57" s="89" t="s">
        <v>44</v>
      </c>
      <c r="X57" s="90" t="s">
        <v>45</v>
      </c>
      <c r="Y57" s="90" t="s">
        <v>46</v>
      </c>
      <c r="AO57" s="33" t="s">
        <v>76</v>
      </c>
      <c r="AP57" s="34"/>
      <c r="AQ57" s="34"/>
      <c r="AR57" s="34"/>
      <c r="AS57" s="34"/>
      <c r="AT57" s="34"/>
      <c r="AU57" s="34"/>
      <c r="AV57" s="34"/>
      <c r="AW57" s="34"/>
      <c r="AX57" s="34"/>
      <c r="AY57" s="35"/>
      <c r="BB57" s="59">
        <v>3340</v>
      </c>
      <c r="BC57" s="68">
        <v>208</v>
      </c>
      <c r="BD57" s="61"/>
      <c r="BE57" s="62"/>
      <c r="BF57" s="61"/>
      <c r="BG57" s="61">
        <v>307</v>
      </c>
      <c r="BH57" s="63" t="s">
        <v>77</v>
      </c>
      <c r="BI57" s="64"/>
      <c r="BJ57" s="65" t="s">
        <v>21</v>
      </c>
      <c r="BK57" s="66"/>
      <c r="BL57" s="67">
        <f>BG81</f>
        <v>6072.5</v>
      </c>
    </row>
    <row r="58" ht="19.5" spans="2:64">
      <c r="B58" s="69">
        <v>210</v>
      </c>
      <c r="C58" s="70"/>
      <c r="D58" s="71"/>
      <c r="E58" s="70">
        <v>352</v>
      </c>
      <c r="F58" s="70">
        <v>35.2</v>
      </c>
      <c r="G58" s="70">
        <v>42</v>
      </c>
      <c r="H58" s="72" t="s">
        <v>78</v>
      </c>
      <c r="I58" s="73"/>
      <c r="J58" s="77"/>
      <c r="K58" s="80" t="s">
        <v>34</v>
      </c>
      <c r="L58" s="81">
        <f>L54/6</f>
        <v>196.55</v>
      </c>
      <c r="O58" s="59"/>
      <c r="P58" s="60">
        <v>142</v>
      </c>
      <c r="Q58" s="61"/>
      <c r="R58" s="62"/>
      <c r="S58" s="61"/>
      <c r="T58" s="61"/>
      <c r="U58" s="75"/>
      <c r="V58" s="76"/>
      <c r="W58" s="92" t="s">
        <v>47</v>
      </c>
      <c r="X58" s="93" t="s">
        <v>48</v>
      </c>
      <c r="Y58" s="93" t="s">
        <v>50</v>
      </c>
      <c r="AB58" s="33" t="s">
        <v>79</v>
      </c>
      <c r="AC58" s="34"/>
      <c r="AD58" s="34"/>
      <c r="AE58" s="34"/>
      <c r="AF58" s="34"/>
      <c r="AG58" s="34"/>
      <c r="AH58" s="34"/>
      <c r="AI58" s="34"/>
      <c r="AJ58" s="34"/>
      <c r="AK58" s="34"/>
      <c r="AL58" s="35"/>
      <c r="AO58" s="36"/>
      <c r="AP58" s="37"/>
      <c r="AQ58" s="37"/>
      <c r="AR58" s="37"/>
      <c r="AS58" s="37"/>
      <c r="AT58" s="37"/>
      <c r="AU58" s="37"/>
      <c r="AV58" s="37"/>
      <c r="AW58" s="37"/>
      <c r="AX58" s="37"/>
      <c r="AY58" s="38"/>
      <c r="BB58" s="69"/>
      <c r="BC58" s="70"/>
      <c r="BD58" s="71"/>
      <c r="BE58" s="70">
        <v>235</v>
      </c>
      <c r="BF58" s="70">
        <v>23.5</v>
      </c>
      <c r="BG58" s="70">
        <v>150</v>
      </c>
      <c r="BH58" s="72" t="s">
        <v>22</v>
      </c>
      <c r="BI58" s="73"/>
      <c r="BJ58" s="74" t="s">
        <v>26</v>
      </c>
      <c r="BK58" s="57"/>
      <c r="BL58" s="49">
        <f>BB81+BL55+BL56-BL57-BE81-BF81</f>
        <v>313.499999999999</v>
      </c>
    </row>
    <row r="59" ht="19.5" spans="2:64">
      <c r="B59" s="59"/>
      <c r="C59" s="60"/>
      <c r="D59" s="61"/>
      <c r="E59" s="62">
        <v>474</v>
      </c>
      <c r="F59" s="61">
        <v>47.4</v>
      </c>
      <c r="G59" s="61">
        <v>30</v>
      </c>
      <c r="H59" s="75" t="s">
        <v>29</v>
      </c>
      <c r="I59" s="76"/>
      <c r="J59" s="77"/>
      <c r="K59" s="82" t="s">
        <v>37</v>
      </c>
      <c r="L59" s="83">
        <f>L54/8</f>
        <v>147.4125</v>
      </c>
      <c r="O59" s="69"/>
      <c r="P59" s="70">
        <v>273</v>
      </c>
      <c r="Q59" s="71">
        <v>27</v>
      </c>
      <c r="R59" s="70"/>
      <c r="S59" s="70"/>
      <c r="T59" s="70"/>
      <c r="U59" s="72"/>
      <c r="V59" s="73"/>
      <c r="W59" s="94" t="s">
        <v>52</v>
      </c>
      <c r="X59" s="95" t="s">
        <v>27</v>
      </c>
      <c r="Y59" s="95" t="s">
        <v>65</v>
      </c>
      <c r="AB59" s="36"/>
      <c r="AC59" s="37"/>
      <c r="AD59" s="37"/>
      <c r="AE59" s="37"/>
      <c r="AF59" s="37"/>
      <c r="AG59" s="37"/>
      <c r="AH59" s="37"/>
      <c r="AI59" s="37"/>
      <c r="AJ59" s="37"/>
      <c r="AK59" s="37"/>
      <c r="AL59" s="38"/>
      <c r="AO59" s="39" t="s">
        <v>12</v>
      </c>
      <c r="AP59" s="40" t="s">
        <v>13</v>
      </c>
      <c r="AQ59" s="41"/>
      <c r="AR59" s="42" t="s">
        <v>14</v>
      </c>
      <c r="AS59" s="43"/>
      <c r="AT59" s="44" t="s">
        <v>15</v>
      </c>
      <c r="AU59" s="45"/>
      <c r="AV59" s="46"/>
      <c r="AW59" s="47" t="s">
        <v>16</v>
      </c>
      <c r="AX59" s="48"/>
      <c r="AY59" s="49">
        <f>AP89+AR89</f>
        <v>9496</v>
      </c>
      <c r="BB59" s="59"/>
      <c r="BC59" s="60"/>
      <c r="BD59" s="61"/>
      <c r="BE59" s="62">
        <v>456</v>
      </c>
      <c r="BF59" s="61">
        <v>45.6</v>
      </c>
      <c r="BG59" s="61">
        <v>31</v>
      </c>
      <c r="BH59" s="75" t="s">
        <v>29</v>
      </c>
      <c r="BI59" s="76"/>
      <c r="BJ59" s="77"/>
      <c r="BK59" s="78" t="s">
        <v>30</v>
      </c>
      <c r="BL59" s="79">
        <f>BL56/4</f>
        <v>227.95</v>
      </c>
    </row>
    <row r="60" ht="15.75" spans="2:64">
      <c r="B60" s="69"/>
      <c r="C60" s="70"/>
      <c r="D60" s="85"/>
      <c r="E60" s="70">
        <v>450</v>
      </c>
      <c r="F60" s="70">
        <v>67.5</v>
      </c>
      <c r="G60" s="70"/>
      <c r="H60" s="72"/>
      <c r="I60" s="73"/>
      <c r="J60" s="86"/>
      <c r="K60" s="77"/>
      <c r="L60" s="87"/>
      <c r="O60" s="59"/>
      <c r="P60" s="60"/>
      <c r="Q60" s="61"/>
      <c r="R60" s="62">
        <v>1323</v>
      </c>
      <c r="S60" s="61">
        <v>132</v>
      </c>
      <c r="T60" s="61"/>
      <c r="U60" s="75"/>
      <c r="V60" s="76"/>
      <c r="W60" s="77"/>
      <c r="X60" s="77"/>
      <c r="Y60" s="87"/>
      <c r="AB60" s="39" t="s">
        <v>12</v>
      </c>
      <c r="AC60" s="40" t="s">
        <v>13</v>
      </c>
      <c r="AD60" s="41"/>
      <c r="AE60" s="42" t="s">
        <v>14</v>
      </c>
      <c r="AF60" s="43"/>
      <c r="AG60" s="44" t="s">
        <v>15</v>
      </c>
      <c r="AH60" s="45"/>
      <c r="AI60" s="46"/>
      <c r="AJ60" s="47" t="s">
        <v>16</v>
      </c>
      <c r="AK60" s="48"/>
      <c r="AL60" s="49">
        <f>AC83+AE83</f>
        <v>4303</v>
      </c>
      <c r="AO60" s="50"/>
      <c r="AP60" s="51" t="s">
        <v>17</v>
      </c>
      <c r="AQ60" s="51" t="s">
        <v>18</v>
      </c>
      <c r="AR60" s="52" t="s">
        <v>17</v>
      </c>
      <c r="AS60" s="52" t="s">
        <v>18</v>
      </c>
      <c r="AT60" s="53"/>
      <c r="AU60" s="54"/>
      <c r="AV60" s="55"/>
      <c r="AW60" s="56" t="s">
        <v>19</v>
      </c>
      <c r="AX60" s="57"/>
      <c r="AY60" s="49">
        <f>AQ89+AS89</f>
        <v>655.5</v>
      </c>
      <c r="BB60" s="69"/>
      <c r="BC60" s="70">
        <v>208</v>
      </c>
      <c r="BD60" s="71"/>
      <c r="BE60" s="70"/>
      <c r="BF60" s="70"/>
      <c r="BG60" s="70">
        <v>31.5</v>
      </c>
      <c r="BH60" s="72" t="s">
        <v>29</v>
      </c>
      <c r="BI60" s="73"/>
      <c r="BJ60" s="77"/>
      <c r="BK60" s="80" t="s">
        <v>34</v>
      </c>
      <c r="BL60" s="81">
        <f>BL56/6</f>
        <v>151.966666666667</v>
      </c>
    </row>
    <row r="61" ht="15.75" spans="2:64">
      <c r="B61" s="59"/>
      <c r="C61" s="60"/>
      <c r="D61" s="61">
        <v>50</v>
      </c>
      <c r="E61" s="62">
        <v>450</v>
      </c>
      <c r="F61" s="61"/>
      <c r="G61" s="61"/>
      <c r="H61" s="75"/>
      <c r="I61" s="76"/>
      <c r="J61" s="77"/>
      <c r="K61" s="58"/>
      <c r="L61" s="58"/>
      <c r="O61" s="69"/>
      <c r="P61" s="70">
        <v>626</v>
      </c>
      <c r="Q61" s="71">
        <f>670-626</f>
        <v>44</v>
      </c>
      <c r="R61" s="70"/>
      <c r="S61" s="70"/>
      <c r="T61" s="70"/>
      <c r="U61" s="72"/>
      <c r="V61" s="73"/>
      <c r="W61" s="58"/>
      <c r="X61" s="58"/>
      <c r="Y61" s="58"/>
      <c r="AB61" s="50"/>
      <c r="AC61" s="51" t="s">
        <v>17</v>
      </c>
      <c r="AD61" s="51" t="s">
        <v>18</v>
      </c>
      <c r="AE61" s="52" t="s">
        <v>17</v>
      </c>
      <c r="AF61" s="52" t="s">
        <v>18</v>
      </c>
      <c r="AG61" s="53"/>
      <c r="AH61" s="54"/>
      <c r="AI61" s="55"/>
      <c r="AJ61" s="56" t="s">
        <v>19</v>
      </c>
      <c r="AK61" s="57"/>
      <c r="AL61" s="49">
        <f>AD83+AF83</f>
        <v>386.6</v>
      </c>
      <c r="AO61" s="59">
        <v>775</v>
      </c>
      <c r="AP61" s="68">
        <v>626</v>
      </c>
      <c r="AQ61" s="61">
        <v>70</v>
      </c>
      <c r="AR61" s="62"/>
      <c r="AS61" s="61"/>
      <c r="AT61" s="61">
        <v>25</v>
      </c>
      <c r="AU61" s="63" t="s">
        <v>29</v>
      </c>
      <c r="AV61" s="64"/>
      <c r="AW61" s="65" t="s">
        <v>21</v>
      </c>
      <c r="AX61" s="66"/>
      <c r="AY61" s="67">
        <f>AT89</f>
        <v>1457</v>
      </c>
      <c r="BB61" s="59"/>
      <c r="BC61" s="60"/>
      <c r="BD61" s="61"/>
      <c r="BE61" s="62">
        <v>625</v>
      </c>
      <c r="BF61" s="61">
        <v>62.5</v>
      </c>
      <c r="BG61" s="61">
        <v>3020</v>
      </c>
      <c r="BH61" s="75" t="s">
        <v>38</v>
      </c>
      <c r="BI61" s="84"/>
      <c r="BJ61" s="77"/>
      <c r="BK61" s="82" t="s">
        <v>37</v>
      </c>
      <c r="BL61" s="83">
        <f>BL56/8</f>
        <v>113.975</v>
      </c>
    </row>
    <row r="62" ht="15.75" spans="2:64">
      <c r="B62" s="69"/>
      <c r="C62" s="70"/>
      <c r="D62" s="71"/>
      <c r="E62" s="70">
        <v>127</v>
      </c>
      <c r="F62" s="70">
        <v>12.7</v>
      </c>
      <c r="G62" s="70"/>
      <c r="H62" s="72"/>
      <c r="I62" s="73"/>
      <c r="J62" s="77"/>
      <c r="K62" s="58"/>
      <c r="L62" s="58"/>
      <c r="O62" s="59"/>
      <c r="P62" s="60"/>
      <c r="Q62" s="61"/>
      <c r="R62" s="62">
        <v>579</v>
      </c>
      <c r="S62" s="61">
        <v>86.85</v>
      </c>
      <c r="T62" s="61"/>
      <c r="U62" s="75"/>
      <c r="V62" s="76"/>
      <c r="W62" s="58"/>
      <c r="X62" s="58"/>
      <c r="Y62" s="58"/>
      <c r="AB62" s="59">
        <v>1293</v>
      </c>
      <c r="AC62" s="60">
        <v>495</v>
      </c>
      <c r="AD62" s="61">
        <v>35</v>
      </c>
      <c r="AE62" s="62"/>
      <c r="AF62" s="61"/>
      <c r="AG62" s="61">
        <v>80</v>
      </c>
      <c r="AH62" s="63" t="s">
        <v>57</v>
      </c>
      <c r="AI62" s="64"/>
      <c r="AJ62" s="65" t="s">
        <v>21</v>
      </c>
      <c r="AK62" s="66"/>
      <c r="AL62" s="67">
        <f>AG83</f>
        <v>110</v>
      </c>
      <c r="AO62" s="69"/>
      <c r="AP62" s="70">
        <v>68</v>
      </c>
      <c r="AQ62" s="71"/>
      <c r="AR62" s="70"/>
      <c r="AS62" s="70"/>
      <c r="AT62" s="70">
        <v>30</v>
      </c>
      <c r="AU62" s="72" t="s">
        <v>29</v>
      </c>
      <c r="AV62" s="73"/>
      <c r="AW62" s="74" t="s">
        <v>26</v>
      </c>
      <c r="AX62" s="57"/>
      <c r="AY62" s="49">
        <f>AO89+AY59+AY60-AY61-AR89-AS89</f>
        <v>4748</v>
      </c>
      <c r="BB62" s="69"/>
      <c r="BC62" s="70">
        <v>184</v>
      </c>
      <c r="BD62" s="85">
        <v>16</v>
      </c>
      <c r="BE62" s="70"/>
      <c r="BF62" s="70"/>
      <c r="BG62" s="70">
        <v>2533</v>
      </c>
      <c r="BH62" s="72" t="s">
        <v>43</v>
      </c>
      <c r="BI62" s="73"/>
      <c r="BJ62" s="86"/>
      <c r="BK62" s="77"/>
      <c r="BL62" s="87"/>
    </row>
    <row r="63" ht="15.75" spans="2:64">
      <c r="B63" s="59"/>
      <c r="C63" s="60">
        <v>378</v>
      </c>
      <c r="D63" s="88">
        <v>38</v>
      </c>
      <c r="E63" s="62"/>
      <c r="F63" s="61"/>
      <c r="G63" s="61"/>
      <c r="H63" s="75"/>
      <c r="I63" s="76"/>
      <c r="J63" s="77"/>
      <c r="K63" s="58"/>
      <c r="L63" s="58"/>
      <c r="O63" s="69"/>
      <c r="P63" s="71">
        <v>212</v>
      </c>
      <c r="Q63" s="71"/>
      <c r="R63" s="70"/>
      <c r="S63" s="70"/>
      <c r="T63" s="70"/>
      <c r="U63" s="72"/>
      <c r="V63" s="73"/>
      <c r="W63" s="58"/>
      <c r="X63" s="58"/>
      <c r="Y63" s="58"/>
      <c r="AB63" s="69"/>
      <c r="AC63" s="70"/>
      <c r="AD63" s="71"/>
      <c r="AE63" s="70">
        <v>389</v>
      </c>
      <c r="AF63" s="70">
        <v>77.8</v>
      </c>
      <c r="AG63" s="70">
        <v>30</v>
      </c>
      <c r="AH63" s="72" t="s">
        <v>29</v>
      </c>
      <c r="AI63" s="73"/>
      <c r="AJ63" s="74" t="s">
        <v>26</v>
      </c>
      <c r="AK63" s="57"/>
      <c r="AL63" s="49">
        <f>AB83+AL60+AL61-AL62-AE83-AF83</f>
        <v>3174</v>
      </c>
      <c r="AO63" s="59"/>
      <c r="AP63" s="60">
        <v>15</v>
      </c>
      <c r="AQ63" s="61"/>
      <c r="AR63" s="62"/>
      <c r="AS63" s="61"/>
      <c r="AT63" s="61">
        <v>353</v>
      </c>
      <c r="AU63" s="75" t="s">
        <v>80</v>
      </c>
      <c r="AV63" s="76"/>
      <c r="AW63" s="77"/>
      <c r="AX63" s="78" t="s">
        <v>30</v>
      </c>
      <c r="AY63" s="79">
        <f>AY60/4</f>
        <v>163.875</v>
      </c>
      <c r="BB63" s="59"/>
      <c r="BC63" s="60"/>
      <c r="BD63" s="61"/>
      <c r="BE63" s="62">
        <v>671</v>
      </c>
      <c r="BF63" s="61">
        <v>60</v>
      </c>
      <c r="BG63" s="61"/>
      <c r="BH63" s="75"/>
      <c r="BI63" s="84"/>
      <c r="BJ63" s="77"/>
      <c r="BK63" s="58"/>
      <c r="BL63" s="58"/>
    </row>
    <row r="64" spans="2:64">
      <c r="B64" s="69"/>
      <c r="C64" s="70">
        <v>165</v>
      </c>
      <c r="D64" s="71">
        <v>20</v>
      </c>
      <c r="E64" s="70"/>
      <c r="F64" s="70"/>
      <c r="G64" s="70"/>
      <c r="H64" s="72"/>
      <c r="I64" s="73"/>
      <c r="J64" s="89" t="s">
        <v>44</v>
      </c>
      <c r="K64" s="90" t="s">
        <v>45</v>
      </c>
      <c r="L64" s="90" t="s">
        <v>46</v>
      </c>
      <c r="O64" s="59"/>
      <c r="P64" s="61">
        <v>480</v>
      </c>
      <c r="Q64" s="61">
        <v>30</v>
      </c>
      <c r="R64" s="62"/>
      <c r="S64" s="61"/>
      <c r="T64" s="61"/>
      <c r="U64" s="75"/>
      <c r="V64" s="76"/>
      <c r="W64" s="58"/>
      <c r="X64" s="58"/>
      <c r="Y64" s="58"/>
      <c r="AB64" s="59"/>
      <c r="AC64" s="60">
        <v>336</v>
      </c>
      <c r="AD64" s="61">
        <v>35</v>
      </c>
      <c r="AE64" s="62"/>
      <c r="AF64" s="61"/>
      <c r="AG64" s="61"/>
      <c r="AH64" s="75"/>
      <c r="AI64" s="76"/>
      <c r="AJ64" s="77"/>
      <c r="AK64" s="78" t="s">
        <v>30</v>
      </c>
      <c r="AL64" s="79">
        <f>AL61/4</f>
        <v>96.65</v>
      </c>
      <c r="AO64" s="69"/>
      <c r="AP64" s="70">
        <v>22</v>
      </c>
      <c r="AQ64" s="71"/>
      <c r="AR64" s="70"/>
      <c r="AS64" s="70"/>
      <c r="AT64" s="70">
        <v>1049</v>
      </c>
      <c r="AU64" s="72" t="s">
        <v>39</v>
      </c>
      <c r="AV64" s="73"/>
      <c r="AW64" s="77"/>
      <c r="AX64" s="80" t="s">
        <v>34</v>
      </c>
      <c r="AY64" s="81">
        <f>AY60/6</f>
        <v>109.25</v>
      </c>
      <c r="BB64" s="69"/>
      <c r="BC64" s="70">
        <v>540</v>
      </c>
      <c r="BD64" s="85">
        <v>60</v>
      </c>
      <c r="BE64" s="70"/>
      <c r="BF64" s="70"/>
      <c r="BG64" s="70"/>
      <c r="BH64" s="72"/>
      <c r="BI64" s="73"/>
      <c r="BJ64" s="77"/>
      <c r="BK64" s="58"/>
      <c r="BL64" s="58"/>
    </row>
    <row r="65" spans="2:64">
      <c r="B65" s="59"/>
      <c r="C65" s="60"/>
      <c r="D65" s="61"/>
      <c r="E65" s="62">
        <v>701</v>
      </c>
      <c r="F65" s="61">
        <v>70.1</v>
      </c>
      <c r="G65" s="61"/>
      <c r="H65" s="75"/>
      <c r="I65" s="76"/>
      <c r="J65" s="92" t="s">
        <v>47</v>
      </c>
      <c r="K65" s="93" t="s">
        <v>48</v>
      </c>
      <c r="L65" s="93" t="s">
        <v>49</v>
      </c>
      <c r="O65" s="69"/>
      <c r="P65" s="71"/>
      <c r="Q65" s="71">
        <v>100</v>
      </c>
      <c r="R65" s="70">
        <v>1108</v>
      </c>
      <c r="S65" s="70"/>
      <c r="T65" s="70"/>
      <c r="U65" s="72"/>
      <c r="V65" s="73"/>
      <c r="W65" s="58"/>
      <c r="X65" s="58"/>
      <c r="Y65" s="58"/>
      <c r="AB65" s="69"/>
      <c r="AC65" s="70">
        <v>230</v>
      </c>
      <c r="AD65" s="71">
        <v>20</v>
      </c>
      <c r="AE65" s="70"/>
      <c r="AF65" s="70"/>
      <c r="AG65" s="70"/>
      <c r="AH65" s="72"/>
      <c r="AI65" s="73"/>
      <c r="AJ65" s="77"/>
      <c r="AK65" s="80" t="s">
        <v>34</v>
      </c>
      <c r="AL65" s="81">
        <f>AL61/6</f>
        <v>64.4333333333333</v>
      </c>
      <c r="AO65" s="59"/>
      <c r="AP65" s="60"/>
      <c r="AQ65" s="61"/>
      <c r="AR65" s="62">
        <v>595</v>
      </c>
      <c r="AS65" s="61">
        <v>59.5</v>
      </c>
      <c r="AT65" s="61"/>
      <c r="AU65" s="75"/>
      <c r="AV65" s="84"/>
      <c r="AW65" s="77"/>
      <c r="AX65" s="82" t="s">
        <v>37</v>
      </c>
      <c r="AY65" s="83">
        <f>AY60/8</f>
        <v>81.9375</v>
      </c>
      <c r="BB65" s="59"/>
      <c r="BC65" s="60">
        <v>10</v>
      </c>
      <c r="BD65" s="61"/>
      <c r="BE65" s="62"/>
      <c r="BF65" s="61"/>
      <c r="BG65" s="61"/>
      <c r="BH65" s="75"/>
      <c r="BI65" s="84"/>
      <c r="BJ65" s="77"/>
      <c r="BK65" s="58"/>
      <c r="BL65" s="58"/>
    </row>
    <row r="66" spans="2:64">
      <c r="B66" s="69"/>
      <c r="C66" s="70"/>
      <c r="D66" s="71"/>
      <c r="E66" s="70">
        <v>1036</v>
      </c>
      <c r="F66" s="70">
        <v>103.6</v>
      </c>
      <c r="G66" s="70"/>
      <c r="H66" s="72"/>
      <c r="I66" s="73"/>
      <c r="J66" s="94" t="s">
        <v>52</v>
      </c>
      <c r="K66" s="95" t="s">
        <v>27</v>
      </c>
      <c r="L66" s="95" t="s">
        <v>31</v>
      </c>
      <c r="O66" s="59"/>
      <c r="P66" s="61">
        <v>22</v>
      </c>
      <c r="Q66" s="61"/>
      <c r="R66" s="62"/>
      <c r="S66" s="61"/>
      <c r="T66" s="61"/>
      <c r="U66" s="75"/>
      <c r="V66" s="76"/>
      <c r="W66" s="58"/>
      <c r="X66" s="58"/>
      <c r="Y66" s="58"/>
      <c r="AB66" s="59"/>
      <c r="AC66" s="60">
        <v>35</v>
      </c>
      <c r="AD66" s="61"/>
      <c r="AE66" s="62"/>
      <c r="AF66" s="61"/>
      <c r="AG66" s="61"/>
      <c r="AH66" s="75"/>
      <c r="AI66" s="76"/>
      <c r="AJ66" s="77"/>
      <c r="AK66" s="82" t="s">
        <v>37</v>
      </c>
      <c r="AL66" s="83">
        <f>AL61/8</f>
        <v>48.325</v>
      </c>
      <c r="AO66" s="69"/>
      <c r="AP66" s="70"/>
      <c r="AQ66" s="85"/>
      <c r="AR66" s="70">
        <v>200</v>
      </c>
      <c r="AS66" s="70">
        <v>10</v>
      </c>
      <c r="AT66" s="70"/>
      <c r="AU66" s="72"/>
      <c r="AV66" s="73"/>
      <c r="AW66" s="86"/>
      <c r="AX66" s="77"/>
      <c r="AY66" s="87"/>
      <c r="BB66" s="69"/>
      <c r="BC66" s="70"/>
      <c r="BD66" s="85"/>
      <c r="BE66" s="70">
        <v>386</v>
      </c>
      <c r="BF66" s="70"/>
      <c r="BG66" s="70"/>
      <c r="BH66" s="72"/>
      <c r="BI66" s="73"/>
      <c r="BJ66" s="89" t="s">
        <v>44</v>
      </c>
      <c r="BK66" s="90" t="s">
        <v>45</v>
      </c>
      <c r="BL66" s="90" t="s">
        <v>46</v>
      </c>
    </row>
    <row r="67" spans="2:64">
      <c r="B67" s="59"/>
      <c r="C67" s="60"/>
      <c r="D67" s="61"/>
      <c r="E67" s="62">
        <v>316</v>
      </c>
      <c r="F67" s="61">
        <v>31.6</v>
      </c>
      <c r="G67" s="61"/>
      <c r="H67" s="75"/>
      <c r="I67" s="76"/>
      <c r="J67" s="77"/>
      <c r="K67" s="77"/>
      <c r="L67" s="87"/>
      <c r="O67" s="69"/>
      <c r="P67" s="71">
        <v>158</v>
      </c>
      <c r="Q67" s="71">
        <v>12</v>
      </c>
      <c r="R67" s="70"/>
      <c r="S67" s="70"/>
      <c r="T67" s="70"/>
      <c r="U67" s="72"/>
      <c r="V67" s="73"/>
      <c r="W67" s="58"/>
      <c r="AB67" s="69"/>
      <c r="AC67" s="70">
        <v>340</v>
      </c>
      <c r="AD67" s="85"/>
      <c r="AE67" s="70"/>
      <c r="AF67" s="70"/>
      <c r="AG67" s="70"/>
      <c r="AH67" s="72"/>
      <c r="AI67" s="73"/>
      <c r="AJ67" s="86"/>
      <c r="AK67" s="77"/>
      <c r="AL67" s="87"/>
      <c r="AO67" s="59"/>
      <c r="AP67" s="60">
        <v>1029</v>
      </c>
      <c r="AQ67" s="61">
        <v>87</v>
      </c>
      <c r="AR67" s="62"/>
      <c r="AS67" s="61"/>
      <c r="AT67" s="61"/>
      <c r="AU67" s="75"/>
      <c r="AV67" s="84"/>
      <c r="AW67" s="77"/>
      <c r="AX67" s="58"/>
      <c r="AY67" s="58"/>
      <c r="BB67" s="59"/>
      <c r="BC67" s="60"/>
      <c r="BD67" s="61"/>
      <c r="BE67" s="62">
        <v>667</v>
      </c>
      <c r="BF67" s="61">
        <v>66.7</v>
      </c>
      <c r="BG67" s="61"/>
      <c r="BH67" s="75"/>
      <c r="BI67" s="84"/>
      <c r="BJ67" s="92" t="s">
        <v>47</v>
      </c>
      <c r="BK67" s="93" t="s">
        <v>27</v>
      </c>
      <c r="BL67" s="93" t="s">
        <v>66</v>
      </c>
    </row>
    <row r="68" spans="2:64">
      <c r="B68" s="69"/>
      <c r="C68" s="70">
        <v>345</v>
      </c>
      <c r="D68" s="71"/>
      <c r="E68" s="70"/>
      <c r="F68" s="70"/>
      <c r="G68" s="70"/>
      <c r="H68" s="72"/>
      <c r="I68" s="73"/>
      <c r="J68" s="58"/>
      <c r="K68" s="58"/>
      <c r="L68" s="58"/>
      <c r="O68" s="59"/>
      <c r="P68" s="61">
        <v>110</v>
      </c>
      <c r="Q68" s="61"/>
      <c r="R68" s="62"/>
      <c r="S68" s="61"/>
      <c r="T68" s="61"/>
      <c r="U68" s="75"/>
      <c r="V68" s="76"/>
      <c r="W68" s="58"/>
      <c r="AB68" s="59"/>
      <c r="AC68" s="60"/>
      <c r="AD68" s="61">
        <v>20</v>
      </c>
      <c r="AE68" s="62">
        <v>192</v>
      </c>
      <c r="AF68" s="61"/>
      <c r="AG68" s="61"/>
      <c r="AH68" s="75"/>
      <c r="AI68" s="76"/>
      <c r="AJ68" s="77"/>
      <c r="AK68" s="58"/>
      <c r="AL68" s="58"/>
      <c r="AO68" s="69"/>
      <c r="AP68" s="70">
        <v>233</v>
      </c>
      <c r="AQ68" s="85">
        <v>21</v>
      </c>
      <c r="AR68" s="70"/>
      <c r="AS68" s="70"/>
      <c r="AT68" s="70"/>
      <c r="AU68" s="72"/>
      <c r="AV68" s="73"/>
      <c r="AW68" s="77"/>
      <c r="AX68" s="58"/>
      <c r="AY68" s="58"/>
      <c r="BB68" s="69"/>
      <c r="BC68" s="70"/>
      <c r="BD68" s="85"/>
      <c r="BE68" s="70">
        <v>670</v>
      </c>
      <c r="BF68" s="70">
        <v>67</v>
      </c>
      <c r="BG68" s="70"/>
      <c r="BH68" s="72"/>
      <c r="BI68" s="73"/>
      <c r="BJ68" s="94" t="s">
        <v>52</v>
      </c>
      <c r="BK68" s="95" t="s">
        <v>48</v>
      </c>
      <c r="BL68" s="95" t="s">
        <v>65</v>
      </c>
    </row>
    <row r="69" spans="2:64">
      <c r="B69" s="59"/>
      <c r="C69" s="60"/>
      <c r="D69" s="61"/>
      <c r="E69" s="62">
        <v>1424</v>
      </c>
      <c r="F69" s="61">
        <v>142.4</v>
      </c>
      <c r="G69" s="61"/>
      <c r="H69" s="75"/>
      <c r="I69" s="76"/>
      <c r="J69" s="58"/>
      <c r="K69" s="58"/>
      <c r="L69" s="58"/>
      <c r="O69" s="69"/>
      <c r="P69" s="71">
        <v>346</v>
      </c>
      <c r="Q69" s="71">
        <v>34</v>
      </c>
      <c r="R69" s="70"/>
      <c r="S69" s="70"/>
      <c r="T69" s="70"/>
      <c r="U69" s="72"/>
      <c r="V69" s="73"/>
      <c r="W69" s="58"/>
      <c r="AB69" s="69"/>
      <c r="AC69" s="70"/>
      <c r="AD69" s="71"/>
      <c r="AE69" s="70">
        <v>530</v>
      </c>
      <c r="AF69" s="70">
        <v>53</v>
      </c>
      <c r="AG69" s="70"/>
      <c r="AH69" s="72"/>
      <c r="AI69" s="73"/>
      <c r="AJ69" s="77"/>
      <c r="AK69" s="58"/>
      <c r="AL69" s="58"/>
      <c r="AO69" s="59"/>
      <c r="AP69" s="60"/>
      <c r="AQ69" s="61"/>
      <c r="AR69" s="62">
        <v>1157</v>
      </c>
      <c r="AS69" s="61">
        <v>115.7</v>
      </c>
      <c r="AT69" s="61"/>
      <c r="AU69" s="75"/>
      <c r="AV69" s="84"/>
      <c r="AW69" s="77"/>
      <c r="AX69" s="58"/>
      <c r="AY69" s="58"/>
      <c r="BB69" s="59"/>
      <c r="BC69" s="60">
        <v>560</v>
      </c>
      <c r="BD69" s="61">
        <v>40</v>
      </c>
      <c r="BE69" s="62"/>
      <c r="BF69" s="61"/>
      <c r="BG69" s="61"/>
      <c r="BH69" s="75"/>
      <c r="BI69" s="84"/>
      <c r="BJ69" s="77"/>
      <c r="BK69" s="77"/>
      <c r="BL69" s="87"/>
    </row>
    <row r="70" spans="2:64">
      <c r="B70" s="69"/>
      <c r="C70" s="71"/>
      <c r="D70" s="71"/>
      <c r="E70" s="70">
        <v>1131</v>
      </c>
      <c r="F70" s="70">
        <v>113.1</v>
      </c>
      <c r="G70" s="70"/>
      <c r="H70" s="72"/>
      <c r="I70" s="73"/>
      <c r="J70" s="58"/>
      <c r="K70" s="58"/>
      <c r="L70" s="58"/>
      <c r="O70" s="59"/>
      <c r="P70" s="61"/>
      <c r="Q70" s="61"/>
      <c r="R70" s="62">
        <v>455</v>
      </c>
      <c r="S70" s="61">
        <v>91</v>
      </c>
      <c r="T70" s="61"/>
      <c r="U70" s="75"/>
      <c r="V70" s="76"/>
      <c r="W70" s="58"/>
      <c r="AB70" s="59"/>
      <c r="AC70" s="60"/>
      <c r="AD70" s="88"/>
      <c r="AE70" s="62">
        <v>225</v>
      </c>
      <c r="AF70" s="61">
        <v>22.5</v>
      </c>
      <c r="AG70" s="61"/>
      <c r="AH70" s="75"/>
      <c r="AI70" s="76"/>
      <c r="AJ70" s="77"/>
      <c r="AK70" s="58"/>
      <c r="AL70" s="58"/>
      <c r="AO70" s="69"/>
      <c r="AP70" s="70"/>
      <c r="AQ70" s="85"/>
      <c r="AR70" s="70">
        <v>170</v>
      </c>
      <c r="AS70" s="70">
        <v>8.5</v>
      </c>
      <c r="AT70" s="70"/>
      <c r="AU70" s="72"/>
      <c r="AV70" s="73"/>
      <c r="AW70" s="89" t="s">
        <v>44</v>
      </c>
      <c r="AX70" s="90" t="s">
        <v>45</v>
      </c>
      <c r="AY70" s="90" t="s">
        <v>46</v>
      </c>
      <c r="BB70" s="69"/>
      <c r="BC70" s="70">
        <v>22</v>
      </c>
      <c r="BD70" s="85"/>
      <c r="BE70" s="70"/>
      <c r="BF70" s="70"/>
      <c r="BG70" s="70"/>
      <c r="BH70" s="72"/>
      <c r="BI70" s="73"/>
      <c r="BJ70" s="58"/>
      <c r="BK70" s="58"/>
      <c r="BL70" s="58"/>
    </row>
    <row r="71" spans="2:64">
      <c r="B71" s="59"/>
      <c r="C71" s="61">
        <v>97</v>
      </c>
      <c r="D71" s="61"/>
      <c r="E71" s="62"/>
      <c r="F71" s="61"/>
      <c r="G71" s="61"/>
      <c r="H71" s="75"/>
      <c r="I71" s="76"/>
      <c r="J71" s="58"/>
      <c r="K71" s="58"/>
      <c r="L71" s="58"/>
      <c r="O71" s="69"/>
      <c r="P71" s="71"/>
      <c r="Q71" s="71"/>
      <c r="R71" s="70">
        <v>202</v>
      </c>
      <c r="S71" s="70">
        <v>30.3</v>
      </c>
      <c r="T71" s="70"/>
      <c r="U71" s="72"/>
      <c r="V71" s="73"/>
      <c r="W71" s="58"/>
      <c r="AB71" s="69"/>
      <c r="AC71" s="70"/>
      <c r="AD71" s="71"/>
      <c r="AE71" s="70">
        <v>558</v>
      </c>
      <c r="AF71" s="70">
        <v>55.8</v>
      </c>
      <c r="AG71" s="70"/>
      <c r="AH71" s="72"/>
      <c r="AI71" s="73"/>
      <c r="AJ71" s="89" t="s">
        <v>44</v>
      </c>
      <c r="AK71" s="90" t="s">
        <v>45</v>
      </c>
      <c r="AL71" s="90" t="s">
        <v>46</v>
      </c>
      <c r="AO71" s="59"/>
      <c r="AP71" s="60">
        <v>204</v>
      </c>
      <c r="AQ71" s="61"/>
      <c r="AR71" s="62"/>
      <c r="AS71" s="61"/>
      <c r="AT71" s="61"/>
      <c r="AU71" s="75"/>
      <c r="AV71" s="84"/>
      <c r="AW71" s="92" t="s">
        <v>47</v>
      </c>
      <c r="AX71" s="93" t="s">
        <v>51</v>
      </c>
      <c r="AY71" s="93" t="s">
        <v>43</v>
      </c>
      <c r="BB71" s="59"/>
      <c r="BC71" s="60"/>
      <c r="BD71" s="61">
        <v>270</v>
      </c>
      <c r="BE71" s="62">
        <v>2481</v>
      </c>
      <c r="BF71" s="61"/>
      <c r="BG71" s="61"/>
      <c r="BH71" s="75"/>
      <c r="BI71" s="84"/>
      <c r="BJ71" s="58"/>
      <c r="BK71" s="58"/>
      <c r="BL71" s="58"/>
    </row>
    <row r="72" spans="2:64">
      <c r="B72" s="69"/>
      <c r="C72" s="70">
        <v>406</v>
      </c>
      <c r="D72" s="71"/>
      <c r="E72" s="70"/>
      <c r="F72" s="70"/>
      <c r="G72" s="70"/>
      <c r="H72" s="72"/>
      <c r="I72" s="73"/>
      <c r="J72" s="58"/>
      <c r="K72" s="58"/>
      <c r="L72" s="58"/>
      <c r="O72" s="59"/>
      <c r="P72" s="61"/>
      <c r="Q72" s="61"/>
      <c r="R72" s="62">
        <v>502</v>
      </c>
      <c r="S72" s="61">
        <v>75.3</v>
      </c>
      <c r="T72" s="61"/>
      <c r="U72" s="75"/>
      <c r="V72" s="76"/>
      <c r="W72" s="58"/>
      <c r="AB72" s="59"/>
      <c r="AC72" s="60">
        <v>225</v>
      </c>
      <c r="AD72" s="61">
        <v>20</v>
      </c>
      <c r="AE72" s="62"/>
      <c r="AF72" s="61"/>
      <c r="AG72" s="61"/>
      <c r="AH72" s="75"/>
      <c r="AI72" s="76"/>
      <c r="AJ72" s="92" t="s">
        <v>47</v>
      </c>
      <c r="AK72" s="93" t="s">
        <v>48</v>
      </c>
      <c r="AL72" s="93" t="s">
        <v>51</v>
      </c>
      <c r="AO72" s="69"/>
      <c r="AP72" s="70"/>
      <c r="AQ72" s="85"/>
      <c r="AR72" s="70">
        <v>428</v>
      </c>
      <c r="AS72" s="70">
        <v>42.8</v>
      </c>
      <c r="AT72" s="70"/>
      <c r="AU72" s="72"/>
      <c r="AV72" s="73"/>
      <c r="AW72" s="94" t="s">
        <v>52</v>
      </c>
      <c r="AX72" s="95" t="s">
        <v>27</v>
      </c>
      <c r="AY72" s="95" t="s">
        <v>67</v>
      </c>
      <c r="BB72" s="69"/>
      <c r="BC72" s="70"/>
      <c r="BD72" s="85"/>
      <c r="BE72" s="70">
        <v>305</v>
      </c>
      <c r="BF72" s="70">
        <v>30.5</v>
      </c>
      <c r="BG72" s="70"/>
      <c r="BH72" s="72"/>
      <c r="BI72" s="73"/>
      <c r="BJ72" s="58"/>
      <c r="BK72" s="58"/>
      <c r="BL72" s="58"/>
    </row>
    <row r="73" spans="2:64">
      <c r="B73" s="59"/>
      <c r="C73" s="60"/>
      <c r="D73" s="61"/>
      <c r="E73" s="62">
        <v>698</v>
      </c>
      <c r="F73" s="61">
        <v>69.8</v>
      </c>
      <c r="G73" s="61"/>
      <c r="H73" s="75"/>
      <c r="I73" s="76"/>
      <c r="J73" s="58"/>
      <c r="K73" s="58"/>
      <c r="L73" s="58"/>
      <c r="O73" s="69"/>
      <c r="P73" s="71">
        <v>137</v>
      </c>
      <c r="Q73" s="71"/>
      <c r="R73" s="70"/>
      <c r="S73" s="70"/>
      <c r="T73" s="70"/>
      <c r="U73" s="72"/>
      <c r="V73" s="73"/>
      <c r="W73" s="58"/>
      <c r="AB73" s="69"/>
      <c r="AC73" s="70"/>
      <c r="AD73" s="71"/>
      <c r="AE73" s="70">
        <v>348</v>
      </c>
      <c r="AF73" s="70"/>
      <c r="AG73" s="70"/>
      <c r="AH73" s="72"/>
      <c r="AI73" s="73"/>
      <c r="AJ73" s="94" t="s">
        <v>52</v>
      </c>
      <c r="AK73" s="95" t="s">
        <v>27</v>
      </c>
      <c r="AL73" s="95" t="s">
        <v>43</v>
      </c>
      <c r="AO73" s="59"/>
      <c r="AP73" s="60">
        <v>525</v>
      </c>
      <c r="AQ73" s="61"/>
      <c r="AR73" s="62"/>
      <c r="AS73" s="61"/>
      <c r="AT73" s="61"/>
      <c r="AU73" s="75"/>
      <c r="AV73" s="84"/>
      <c r="AW73" s="77"/>
      <c r="AX73" s="77"/>
      <c r="AY73" s="87"/>
      <c r="BB73" s="59"/>
      <c r="BC73" s="60"/>
      <c r="BD73" s="61">
        <v>50</v>
      </c>
      <c r="BE73" s="62">
        <v>393</v>
      </c>
      <c r="BF73" s="61"/>
      <c r="BG73" s="61"/>
      <c r="BH73" s="75"/>
      <c r="BI73" s="84"/>
      <c r="BJ73" s="58"/>
      <c r="BK73" s="58"/>
      <c r="BL73" s="58"/>
    </row>
    <row r="74" spans="2:64">
      <c r="B74" s="69"/>
      <c r="C74" s="70">
        <v>1430</v>
      </c>
      <c r="D74" s="71">
        <v>190</v>
      </c>
      <c r="E74" s="70"/>
      <c r="F74" s="70"/>
      <c r="G74" s="70"/>
      <c r="H74" s="72"/>
      <c r="I74" s="73"/>
      <c r="J74" s="58"/>
      <c r="O74" s="59"/>
      <c r="P74" s="61"/>
      <c r="Q74" s="61"/>
      <c r="R74" s="62">
        <v>214</v>
      </c>
      <c r="S74" s="61"/>
      <c r="T74" s="61"/>
      <c r="U74" s="75"/>
      <c r="V74" s="76"/>
      <c r="W74" s="58"/>
      <c r="AB74" s="59"/>
      <c r="AC74" s="60">
        <v>175</v>
      </c>
      <c r="AD74" s="61">
        <v>25</v>
      </c>
      <c r="AE74" s="62"/>
      <c r="AF74" s="61"/>
      <c r="AG74" s="61"/>
      <c r="AH74" s="75"/>
      <c r="AI74" s="76"/>
      <c r="AJ74" s="77"/>
      <c r="AK74" s="77"/>
      <c r="AL74" s="87"/>
      <c r="AO74" s="69"/>
      <c r="AP74" s="70"/>
      <c r="AQ74" s="85"/>
      <c r="AR74" s="70">
        <v>505</v>
      </c>
      <c r="AS74" s="70"/>
      <c r="AT74" s="70"/>
      <c r="AU74" s="72"/>
      <c r="AV74" s="73"/>
      <c r="AW74" s="58"/>
      <c r="AX74" s="58"/>
      <c r="AY74" s="58"/>
      <c r="BB74" s="69"/>
      <c r="BC74" s="70">
        <v>430</v>
      </c>
      <c r="BD74" s="85">
        <v>70</v>
      </c>
      <c r="BE74" s="70"/>
      <c r="BF74" s="70"/>
      <c r="BG74" s="70"/>
      <c r="BH74" s="72"/>
      <c r="BI74" s="73"/>
      <c r="BJ74" s="58"/>
      <c r="BK74" s="58"/>
      <c r="BL74" s="58"/>
    </row>
    <row r="75" spans="2:64">
      <c r="B75" s="59"/>
      <c r="C75" s="60">
        <v>408</v>
      </c>
      <c r="D75" s="61">
        <v>30</v>
      </c>
      <c r="E75" s="62"/>
      <c r="F75" s="61"/>
      <c r="G75" s="61"/>
      <c r="H75" s="75"/>
      <c r="I75" s="76"/>
      <c r="J75" s="58"/>
      <c r="O75" s="69"/>
      <c r="P75" s="71">
        <v>641</v>
      </c>
      <c r="Q75" s="71">
        <v>59</v>
      </c>
      <c r="R75" s="70"/>
      <c r="S75" s="70"/>
      <c r="T75" s="70"/>
      <c r="U75" s="72"/>
      <c r="V75" s="73"/>
      <c r="W75" s="58"/>
      <c r="AB75" s="69"/>
      <c r="AC75" s="70"/>
      <c r="AD75" s="71"/>
      <c r="AE75" s="70">
        <v>225</v>
      </c>
      <c r="AF75" s="70">
        <v>22.5</v>
      </c>
      <c r="AG75" s="70"/>
      <c r="AH75" s="72"/>
      <c r="AI75" s="73"/>
      <c r="AJ75" s="58"/>
      <c r="AK75" s="58"/>
      <c r="AL75" s="58"/>
      <c r="AO75" s="59"/>
      <c r="AP75" s="60">
        <v>225</v>
      </c>
      <c r="AQ75" s="61">
        <v>35</v>
      </c>
      <c r="AR75" s="62"/>
      <c r="AS75" s="61"/>
      <c r="AT75" s="61"/>
      <c r="AU75" s="75"/>
      <c r="AV75" s="84"/>
      <c r="AW75" s="58"/>
      <c r="AX75" s="58"/>
      <c r="AY75" s="58"/>
      <c r="BB75" s="59"/>
      <c r="BC75" s="60">
        <v>328</v>
      </c>
      <c r="BD75" s="61">
        <v>50</v>
      </c>
      <c r="BE75" s="62"/>
      <c r="BF75" s="61"/>
      <c r="BG75" s="61"/>
      <c r="BH75" s="75"/>
      <c r="BI75" s="84"/>
      <c r="BJ75" s="58"/>
      <c r="BK75" s="58"/>
      <c r="BL75" s="58"/>
    </row>
    <row r="76" spans="2:64">
      <c r="B76" s="69"/>
      <c r="C76" s="70"/>
      <c r="D76" s="71"/>
      <c r="E76" s="70">
        <v>544</v>
      </c>
      <c r="F76" s="70">
        <v>54.4</v>
      </c>
      <c r="G76" s="70"/>
      <c r="H76" s="72"/>
      <c r="I76" s="73"/>
      <c r="J76" s="58"/>
      <c r="O76" s="59"/>
      <c r="P76" s="61"/>
      <c r="Q76" s="61"/>
      <c r="R76" s="62">
        <v>240</v>
      </c>
      <c r="S76" s="61">
        <v>36</v>
      </c>
      <c r="T76" s="61"/>
      <c r="U76" s="75"/>
      <c r="V76" s="76"/>
      <c r="W76" s="58"/>
      <c r="AB76" s="59"/>
      <c r="AC76" s="60"/>
      <c r="AD76" s="61"/>
      <c r="AE76" s="62"/>
      <c r="AF76" s="61"/>
      <c r="AG76" s="61"/>
      <c r="AH76" s="75"/>
      <c r="AI76" s="76"/>
      <c r="AJ76" s="58"/>
      <c r="AK76" s="58"/>
      <c r="AL76" s="58"/>
      <c r="AO76" s="69"/>
      <c r="AP76" s="70"/>
      <c r="AQ76" s="85">
        <v>20</v>
      </c>
      <c r="AR76" s="70">
        <v>422</v>
      </c>
      <c r="AS76" s="70"/>
      <c r="AT76" s="70"/>
      <c r="AU76" s="72"/>
      <c r="AV76" s="73"/>
      <c r="AW76" s="58"/>
      <c r="AX76" s="58"/>
      <c r="AY76" s="58"/>
      <c r="BB76" s="69"/>
      <c r="BC76" s="70"/>
      <c r="BD76" s="85"/>
      <c r="BE76" s="70"/>
      <c r="BF76" s="70"/>
      <c r="BG76" s="70"/>
      <c r="BH76" s="72"/>
      <c r="BI76" s="73"/>
      <c r="BJ76" s="58"/>
    </row>
    <row r="77" spans="2:64">
      <c r="B77" s="59"/>
      <c r="C77" s="60"/>
      <c r="D77" s="61"/>
      <c r="E77" s="62"/>
      <c r="F77" s="61"/>
      <c r="G77" s="61"/>
      <c r="H77" s="75"/>
      <c r="I77" s="76"/>
      <c r="J77" s="58"/>
      <c r="O77" s="69"/>
      <c r="P77" s="71">
        <v>318</v>
      </c>
      <c r="Q77" s="71">
        <v>13</v>
      </c>
      <c r="R77" s="70"/>
      <c r="S77" s="70"/>
      <c r="T77" s="70"/>
      <c r="U77" s="72"/>
      <c r="V77" s="73"/>
      <c r="W77" s="58"/>
      <c r="AB77" s="69"/>
      <c r="AC77" s="71"/>
      <c r="AD77" s="71"/>
      <c r="AE77" s="70"/>
      <c r="AF77" s="70"/>
      <c r="AG77" s="70"/>
      <c r="AH77" s="72"/>
      <c r="AI77" s="73"/>
      <c r="AJ77" s="58"/>
      <c r="AK77" s="58"/>
      <c r="AL77" s="58"/>
      <c r="AO77" s="59"/>
      <c r="AP77" s="60">
        <v>408</v>
      </c>
      <c r="AQ77" s="61">
        <v>40</v>
      </c>
      <c r="AR77" s="62"/>
      <c r="AS77" s="61"/>
      <c r="AT77" s="61"/>
      <c r="AU77" s="75"/>
      <c r="AV77" s="84"/>
      <c r="AW77" s="58"/>
      <c r="AX77" s="58"/>
      <c r="AY77" s="58"/>
      <c r="BB77" s="59"/>
      <c r="BC77" s="60"/>
      <c r="BD77" s="61"/>
      <c r="BE77" s="62"/>
      <c r="BF77" s="61"/>
      <c r="BG77" s="61"/>
      <c r="BH77" s="75"/>
      <c r="BI77" s="84"/>
      <c r="BJ77" s="58"/>
    </row>
    <row r="78" spans="2:64">
      <c r="B78" s="59"/>
      <c r="C78" s="60"/>
      <c r="D78" s="61"/>
      <c r="E78" s="62"/>
      <c r="F78" s="61"/>
      <c r="G78" s="61"/>
      <c r="H78" s="75"/>
      <c r="I78" s="76"/>
      <c r="O78" s="59"/>
      <c r="P78" s="61">
        <v>677</v>
      </c>
      <c r="Q78" s="61">
        <v>23</v>
      </c>
      <c r="R78" s="62"/>
      <c r="S78" s="61"/>
      <c r="T78" s="61"/>
      <c r="U78" s="75"/>
      <c r="V78" s="76"/>
      <c r="W78" s="58"/>
      <c r="AB78" s="59"/>
      <c r="AC78" s="61"/>
      <c r="AD78" s="61"/>
      <c r="AE78" s="62"/>
      <c r="AF78" s="61"/>
      <c r="AG78" s="61"/>
      <c r="AH78" s="75"/>
      <c r="AI78" s="76"/>
      <c r="AJ78" s="58"/>
      <c r="AK78" s="58"/>
      <c r="AL78" s="58"/>
      <c r="AO78" s="69"/>
      <c r="AP78" s="70"/>
      <c r="AQ78" s="85"/>
      <c r="AR78" s="70">
        <v>378</v>
      </c>
      <c r="AS78" s="70">
        <v>56.7</v>
      </c>
      <c r="AT78" s="70"/>
      <c r="AU78" s="72"/>
      <c r="AV78" s="73"/>
      <c r="AW78" s="58"/>
      <c r="AX78" s="58"/>
      <c r="AY78" s="58"/>
      <c r="BB78" s="96"/>
      <c r="BC78" s="97"/>
      <c r="BD78" s="98"/>
      <c r="BE78" s="99"/>
      <c r="BF78" s="98"/>
      <c r="BG78" s="98"/>
      <c r="BH78" s="72"/>
      <c r="BI78" s="73"/>
    </row>
    <row r="79" ht="15.75" spans="2:64">
      <c r="B79" s="69"/>
      <c r="C79" s="112"/>
      <c r="D79" s="71"/>
      <c r="E79" s="58"/>
      <c r="F79" s="70"/>
      <c r="G79" s="70"/>
      <c r="H79" s="72"/>
      <c r="I79" s="73"/>
      <c r="O79" s="69"/>
      <c r="P79" s="112"/>
      <c r="Q79" s="71"/>
      <c r="R79" s="58">
        <v>205</v>
      </c>
      <c r="S79" s="70">
        <v>41</v>
      </c>
      <c r="T79" s="70"/>
      <c r="U79" s="72"/>
      <c r="V79" s="73"/>
      <c r="AB79" s="96"/>
      <c r="AC79" s="97"/>
      <c r="AD79" s="98"/>
      <c r="AE79" s="99"/>
      <c r="AF79" s="98"/>
      <c r="AG79" s="98"/>
      <c r="AH79" s="72"/>
      <c r="AI79" s="73"/>
      <c r="AO79" s="59"/>
      <c r="AP79" s="60"/>
      <c r="AQ79" s="61"/>
      <c r="AR79" s="62">
        <v>546</v>
      </c>
      <c r="AS79" s="61">
        <v>27.3</v>
      </c>
      <c r="AT79" s="61"/>
      <c r="AU79" s="75"/>
      <c r="AV79" s="84"/>
      <c r="AW79" s="58"/>
      <c r="AX79" s="58"/>
      <c r="AY79" s="58"/>
      <c r="BB79" s="59"/>
      <c r="BC79" s="60"/>
      <c r="BD79" s="61"/>
      <c r="BE79" s="62"/>
      <c r="BF79" s="61"/>
      <c r="BG79" s="61"/>
      <c r="BH79" s="75"/>
      <c r="BI79" s="76"/>
    </row>
    <row r="80" ht="15.75" spans="2:64">
      <c r="B80" s="102">
        <f t="shared" ref="B80:G80" si="15">SUM(B55:B79)</f>
        <v>825</v>
      </c>
      <c r="C80" s="103">
        <f t="shared" si="15"/>
        <v>3655</v>
      </c>
      <c r="D80" s="104">
        <f t="shared" si="15"/>
        <v>372</v>
      </c>
      <c r="E80" s="105">
        <f t="shared" si="15"/>
        <v>8298</v>
      </c>
      <c r="F80" s="106">
        <f t="shared" si="15"/>
        <v>807.3</v>
      </c>
      <c r="G80" s="107">
        <f t="shared" si="15"/>
        <v>346</v>
      </c>
      <c r="H80" s="108" t="s">
        <v>54</v>
      </c>
      <c r="I80" s="109"/>
      <c r="O80" s="59"/>
      <c r="P80" s="60">
        <v>177</v>
      </c>
      <c r="Q80" s="61">
        <v>23</v>
      </c>
      <c r="R80" s="62"/>
      <c r="S80" s="61"/>
      <c r="T80" s="61"/>
      <c r="U80" s="75"/>
      <c r="V80" s="76"/>
      <c r="AB80" s="59"/>
      <c r="AC80" s="60"/>
      <c r="AD80" s="61"/>
      <c r="AE80" s="62"/>
      <c r="AF80" s="61"/>
      <c r="AG80" s="61"/>
      <c r="AH80" s="75"/>
      <c r="AI80" s="76"/>
      <c r="AO80" s="69"/>
      <c r="AP80" s="70">
        <v>766</v>
      </c>
      <c r="AQ80" s="85">
        <v>50</v>
      </c>
      <c r="AR80" s="70"/>
      <c r="AS80" s="70"/>
      <c r="AT80" s="70"/>
      <c r="AU80" s="72"/>
      <c r="AV80" s="73"/>
      <c r="AW80" s="58"/>
      <c r="BB80" s="96"/>
      <c r="BC80" s="97"/>
      <c r="BD80" s="98"/>
      <c r="BE80" s="99"/>
      <c r="BF80" s="98"/>
      <c r="BG80" s="98"/>
      <c r="BH80" s="72"/>
      <c r="BI80" s="73"/>
    </row>
    <row r="81" ht="15.75" spans="2:64">
      <c r="O81" s="96"/>
      <c r="P81" s="97"/>
      <c r="Q81" s="98"/>
      <c r="R81" s="99"/>
      <c r="S81" s="98"/>
      <c r="T81" s="98"/>
      <c r="U81" s="72"/>
      <c r="V81" s="73"/>
      <c r="AB81" s="69"/>
      <c r="AC81" s="71"/>
      <c r="AD81" s="71"/>
      <c r="AE81" s="70"/>
      <c r="AF81" s="70"/>
      <c r="AG81" s="70"/>
      <c r="AH81" s="72"/>
      <c r="AI81" s="73"/>
      <c r="AO81" s="59"/>
      <c r="AP81" s="60">
        <v>508</v>
      </c>
      <c r="AQ81" s="61">
        <v>12</v>
      </c>
      <c r="AR81" s="62"/>
      <c r="AS81" s="61"/>
      <c r="AT81" s="61"/>
      <c r="AU81" s="75"/>
      <c r="AV81" s="84"/>
      <c r="AW81" s="58"/>
      <c r="BB81" s="102">
        <f t="shared" ref="BB81:BG81" si="16">SUM(BB57:BB80)</f>
        <v>3340</v>
      </c>
      <c r="BC81" s="103">
        <f t="shared" si="16"/>
        <v>2490</v>
      </c>
      <c r="BD81" s="104">
        <f t="shared" si="16"/>
        <v>556</v>
      </c>
      <c r="BE81" s="105">
        <f t="shared" si="16"/>
        <v>6889</v>
      </c>
      <c r="BF81" s="106">
        <f t="shared" si="16"/>
        <v>355.8</v>
      </c>
      <c r="BG81" s="107">
        <f t="shared" si="16"/>
        <v>6072.5</v>
      </c>
      <c r="BH81" s="108" t="s">
        <v>54</v>
      </c>
      <c r="BI81" s="109"/>
    </row>
    <row r="82" ht="15.75" spans="2:64">
      <c r="O82" s="59"/>
      <c r="P82" s="60"/>
      <c r="Q82" s="61"/>
      <c r="R82" s="62"/>
      <c r="S82" s="61"/>
      <c r="T82" s="61"/>
      <c r="U82" s="75"/>
      <c r="V82" s="76"/>
      <c r="AB82" s="59"/>
      <c r="AC82" s="61"/>
      <c r="AD82" s="61"/>
      <c r="AE82" s="62"/>
      <c r="AF82" s="61"/>
      <c r="AG82" s="61"/>
      <c r="AH82" s="75"/>
      <c r="AI82" s="76"/>
      <c r="AO82" s="69"/>
      <c r="AP82" s="70">
        <v>466</v>
      </c>
      <c r="AQ82" s="85"/>
      <c r="AR82" s="70"/>
      <c r="AS82" s="70"/>
      <c r="AT82" s="70"/>
      <c r="AU82" s="72"/>
      <c r="AV82" s="73"/>
      <c r="AW82" s="58"/>
    </row>
    <row r="83" ht="15.75" spans="2:64">
      <c r="B83" s="33" t="s">
        <v>81</v>
      </c>
      <c r="C83" s="34"/>
      <c r="D83" s="34"/>
      <c r="E83" s="34"/>
      <c r="F83" s="34"/>
      <c r="G83" s="34"/>
      <c r="H83" s="34"/>
      <c r="I83" s="34"/>
      <c r="J83" s="34"/>
      <c r="K83" s="34"/>
      <c r="L83" s="35"/>
      <c r="O83" s="96"/>
      <c r="P83" s="97"/>
      <c r="Q83" s="98"/>
      <c r="R83" s="99"/>
      <c r="S83" s="98"/>
      <c r="T83" s="98"/>
      <c r="U83" s="100"/>
      <c r="V83" s="101"/>
      <c r="AB83" s="102">
        <f t="shared" ref="AB83:AG83" si="17">SUM(AB62:AB82)</f>
        <v>1293</v>
      </c>
      <c r="AC83" s="103">
        <f t="shared" si="17"/>
        <v>1836</v>
      </c>
      <c r="AD83" s="104">
        <f t="shared" si="17"/>
        <v>155</v>
      </c>
      <c r="AE83" s="105">
        <f t="shared" si="17"/>
        <v>2467</v>
      </c>
      <c r="AF83" s="106">
        <f t="shared" si="17"/>
        <v>231.6</v>
      </c>
      <c r="AG83" s="107">
        <f t="shared" si="17"/>
        <v>110</v>
      </c>
      <c r="AH83" s="108" t="s">
        <v>54</v>
      </c>
      <c r="AI83" s="109"/>
      <c r="AO83" s="59"/>
      <c r="AP83" s="60"/>
      <c r="AQ83" s="61"/>
      <c r="AR83" s="62"/>
      <c r="AS83" s="61"/>
      <c r="AT83" s="61"/>
      <c r="AU83" s="75"/>
      <c r="AV83" s="84"/>
      <c r="AW83" s="58"/>
    </row>
    <row r="84" ht="15.75" spans="2:64">
      <c r="B84" s="36"/>
      <c r="C84" s="37"/>
      <c r="D84" s="37"/>
      <c r="E84" s="37"/>
      <c r="F84" s="37"/>
      <c r="G84" s="37"/>
      <c r="H84" s="37"/>
      <c r="I84" s="37"/>
      <c r="J84" s="37"/>
      <c r="K84" s="37"/>
      <c r="L84" s="38"/>
      <c r="O84" s="102">
        <f t="shared" ref="O84:T84" si="18">SUM(O48:O83)</f>
        <v>3110</v>
      </c>
      <c r="P84" s="103">
        <f t="shared" si="18"/>
        <v>5373</v>
      </c>
      <c r="Q84" s="104">
        <f t="shared" si="18"/>
        <v>505</v>
      </c>
      <c r="R84" s="105">
        <f t="shared" si="18"/>
        <v>6452</v>
      </c>
      <c r="S84" s="106">
        <f t="shared" si="18"/>
        <v>604.25</v>
      </c>
      <c r="T84" s="107">
        <f t="shared" si="18"/>
        <v>4147</v>
      </c>
      <c r="U84" s="108" t="s">
        <v>54</v>
      </c>
      <c r="V84" s="109"/>
      <c r="AO84" s="69"/>
      <c r="AP84" s="112"/>
      <c r="AQ84" s="71"/>
      <c r="AR84" s="58"/>
      <c r="AS84" s="70"/>
      <c r="AT84" s="70"/>
      <c r="AU84" s="72"/>
      <c r="AV84" s="73"/>
      <c r="AW84" s="58"/>
      <c r="BB84" s="33" t="s">
        <v>82</v>
      </c>
      <c r="BC84" s="34"/>
      <c r="BD84" s="34"/>
      <c r="BE84" s="34"/>
      <c r="BF84" s="34"/>
      <c r="BG84" s="34"/>
      <c r="BH84" s="34"/>
      <c r="BI84" s="34"/>
      <c r="BJ84" s="34"/>
      <c r="BK84" s="34"/>
      <c r="BL84" s="35"/>
    </row>
    <row r="85" ht="15.75" spans="2:64">
      <c r="B85" s="39" t="s">
        <v>12</v>
      </c>
      <c r="C85" s="40" t="s">
        <v>13</v>
      </c>
      <c r="D85" s="41"/>
      <c r="E85" s="42" t="s">
        <v>14</v>
      </c>
      <c r="F85" s="43"/>
      <c r="G85" s="44" t="s">
        <v>15</v>
      </c>
      <c r="H85" s="45"/>
      <c r="I85" s="46"/>
      <c r="J85" s="47" t="s">
        <v>16</v>
      </c>
      <c r="K85" s="48"/>
      <c r="L85" s="49">
        <f>C129+E129</f>
        <v>8904</v>
      </c>
      <c r="AO85" s="59"/>
      <c r="AP85" s="60"/>
      <c r="AQ85" s="61"/>
      <c r="AR85" s="62"/>
      <c r="AS85" s="61"/>
      <c r="AT85" s="61"/>
      <c r="AU85" s="75"/>
      <c r="AV85" s="76"/>
      <c r="BB85" s="36"/>
      <c r="BC85" s="37"/>
      <c r="BD85" s="37"/>
      <c r="BE85" s="37"/>
      <c r="BF85" s="37"/>
      <c r="BG85" s="37"/>
      <c r="BH85" s="37"/>
      <c r="BI85" s="37"/>
      <c r="BJ85" s="37"/>
      <c r="BK85" s="37"/>
      <c r="BL85" s="38"/>
    </row>
    <row r="86" ht="15.75" spans="2:64">
      <c r="B86" s="50"/>
      <c r="C86" s="51" t="s">
        <v>17</v>
      </c>
      <c r="D86" s="51" t="s">
        <v>18</v>
      </c>
      <c r="E86" s="52" t="s">
        <v>17</v>
      </c>
      <c r="F86" s="52" t="s">
        <v>18</v>
      </c>
      <c r="G86" s="53"/>
      <c r="H86" s="54"/>
      <c r="I86" s="55"/>
      <c r="J86" s="56" t="s">
        <v>19</v>
      </c>
      <c r="K86" s="57"/>
      <c r="L86" s="49">
        <f>D129+F129</f>
        <v>934.3</v>
      </c>
      <c r="AO86" s="96"/>
      <c r="AP86" s="97"/>
      <c r="AQ86" s="98"/>
      <c r="AR86" s="99"/>
      <c r="AS86" s="98"/>
      <c r="AT86" s="98"/>
      <c r="AU86" s="72"/>
      <c r="AV86" s="73"/>
      <c r="BB86" s="39" t="s">
        <v>12</v>
      </c>
      <c r="BC86" s="40" t="s">
        <v>13</v>
      </c>
      <c r="BD86" s="41"/>
      <c r="BE86" s="42" t="s">
        <v>14</v>
      </c>
      <c r="BF86" s="43"/>
      <c r="BG86" s="44" t="s">
        <v>15</v>
      </c>
      <c r="BH86" s="45"/>
      <c r="BI86" s="46"/>
      <c r="BJ86" s="47" t="s">
        <v>16</v>
      </c>
      <c r="BK86" s="48"/>
      <c r="BL86" s="49">
        <f>BC108+BE108</f>
        <v>3905</v>
      </c>
    </row>
    <row r="87" ht="15.75" spans="2:64">
      <c r="B87" s="59">
        <v>606</v>
      </c>
      <c r="C87" s="60"/>
      <c r="D87" s="61"/>
      <c r="E87" s="62">
        <v>152</v>
      </c>
      <c r="F87" s="61">
        <v>15.2</v>
      </c>
      <c r="G87" s="61">
        <v>390</v>
      </c>
      <c r="H87" s="63" t="s">
        <v>24</v>
      </c>
      <c r="I87" s="64"/>
      <c r="J87" s="65" t="s">
        <v>21</v>
      </c>
      <c r="K87" s="66"/>
      <c r="L87" s="67">
        <f>G129</f>
        <v>898</v>
      </c>
      <c r="O87" s="33" t="s">
        <v>83</v>
      </c>
      <c r="P87" s="34"/>
      <c r="Q87" s="34"/>
      <c r="R87" s="34"/>
      <c r="S87" s="34"/>
      <c r="T87" s="34"/>
      <c r="U87" s="34"/>
      <c r="V87" s="34"/>
      <c r="W87" s="34"/>
      <c r="X87" s="34"/>
      <c r="Y87" s="35"/>
      <c r="AB87" s="33" t="s">
        <v>84</v>
      </c>
      <c r="AC87" s="34"/>
      <c r="AD87" s="34"/>
      <c r="AE87" s="34"/>
      <c r="AF87" s="34"/>
      <c r="AG87" s="34"/>
      <c r="AH87" s="34"/>
      <c r="AI87" s="34"/>
      <c r="AJ87" s="34"/>
      <c r="AK87" s="34"/>
      <c r="AL87" s="35"/>
      <c r="AO87" s="59"/>
      <c r="AP87" s="60"/>
      <c r="AQ87" s="61"/>
      <c r="AR87" s="62"/>
      <c r="AS87" s="61"/>
      <c r="AT87" s="61"/>
      <c r="AU87" s="75"/>
      <c r="AV87" s="76"/>
      <c r="BB87" s="50"/>
      <c r="BC87" s="51" t="s">
        <v>17</v>
      </c>
      <c r="BD87" s="51" t="s">
        <v>18</v>
      </c>
      <c r="BE87" s="52" t="s">
        <v>17</v>
      </c>
      <c r="BF87" s="52" t="s">
        <v>18</v>
      </c>
      <c r="BG87" s="53"/>
      <c r="BH87" s="54"/>
      <c r="BI87" s="55"/>
      <c r="BJ87" s="56" t="s">
        <v>19</v>
      </c>
      <c r="BK87" s="57"/>
      <c r="BL87" s="49">
        <f>BD108+BF108</f>
        <v>359.5</v>
      </c>
    </row>
    <row r="88" ht="14" customHeight="1" spans="2:64">
      <c r="B88" s="69">
        <v>270</v>
      </c>
      <c r="C88" s="70"/>
      <c r="D88" s="71"/>
      <c r="E88" s="70">
        <v>566</v>
      </c>
      <c r="F88" s="70">
        <v>56.6</v>
      </c>
      <c r="G88" s="70">
        <v>25</v>
      </c>
      <c r="H88" s="72" t="s">
        <v>85</v>
      </c>
      <c r="I88" s="73"/>
      <c r="J88" s="74" t="s">
        <v>26</v>
      </c>
      <c r="K88" s="57"/>
      <c r="L88" s="49">
        <f>B129+L85+L86-L87-E129-F129</f>
        <v>5485</v>
      </c>
      <c r="O88" s="36"/>
      <c r="P88" s="37"/>
      <c r="Q88" s="37"/>
      <c r="R88" s="37"/>
      <c r="S88" s="37"/>
      <c r="T88" s="37"/>
      <c r="U88" s="37"/>
      <c r="V88" s="37"/>
      <c r="W88" s="37"/>
      <c r="X88" s="37"/>
      <c r="Y88" s="38"/>
      <c r="AB88" s="36"/>
      <c r="AC88" s="37"/>
      <c r="AD88" s="37"/>
      <c r="AE88" s="37"/>
      <c r="AF88" s="37"/>
      <c r="AG88" s="37"/>
      <c r="AH88" s="37"/>
      <c r="AI88" s="37"/>
      <c r="AJ88" s="37"/>
      <c r="AK88" s="37"/>
      <c r="AL88" s="38"/>
      <c r="AO88" s="96"/>
      <c r="AP88" s="97"/>
      <c r="AQ88" s="98"/>
      <c r="AR88" s="99"/>
      <c r="AS88" s="98"/>
      <c r="AT88" s="98"/>
      <c r="AU88" s="72"/>
      <c r="AV88" s="73"/>
      <c r="BB88" s="59">
        <v>313</v>
      </c>
      <c r="BC88" s="68">
        <v>684</v>
      </c>
      <c r="BD88" s="61">
        <v>50</v>
      </c>
      <c r="BE88" s="62"/>
      <c r="BF88" s="61"/>
      <c r="BG88" s="61">
        <v>31</v>
      </c>
      <c r="BH88" s="63" t="s">
        <v>29</v>
      </c>
      <c r="BI88" s="64"/>
      <c r="BJ88" s="65" t="s">
        <v>21</v>
      </c>
      <c r="BK88" s="66"/>
      <c r="BL88" s="67">
        <f>BG108</f>
        <v>547</v>
      </c>
    </row>
    <row r="89" ht="15.75" spans="2:64">
      <c r="B89" s="59">
        <v>140</v>
      </c>
      <c r="C89" s="60">
        <v>115</v>
      </c>
      <c r="D89" s="61"/>
      <c r="E89" s="62"/>
      <c r="F89" s="61"/>
      <c r="G89" s="61">
        <v>105</v>
      </c>
      <c r="H89" s="75" t="s">
        <v>22</v>
      </c>
      <c r="I89" s="76"/>
      <c r="J89" s="77"/>
      <c r="K89" s="78" t="s">
        <v>30</v>
      </c>
      <c r="L89" s="79">
        <f>L86/4</f>
        <v>233.575</v>
      </c>
      <c r="O89" s="39" t="s">
        <v>12</v>
      </c>
      <c r="P89" s="40" t="s">
        <v>13</v>
      </c>
      <c r="Q89" s="41"/>
      <c r="R89" s="42" t="s">
        <v>14</v>
      </c>
      <c r="S89" s="43"/>
      <c r="T89" s="44" t="s">
        <v>15</v>
      </c>
      <c r="U89" s="45"/>
      <c r="V89" s="46"/>
      <c r="W89" s="47" t="s">
        <v>16</v>
      </c>
      <c r="X89" s="48"/>
      <c r="Y89" s="49">
        <f>P112+R112</f>
        <v>6590</v>
      </c>
      <c r="AB89" s="39" t="s">
        <v>12</v>
      </c>
      <c r="AC89" s="40" t="s">
        <v>13</v>
      </c>
      <c r="AD89" s="41"/>
      <c r="AE89" s="42" t="s">
        <v>14</v>
      </c>
      <c r="AF89" s="43"/>
      <c r="AG89" s="44" t="s">
        <v>15</v>
      </c>
      <c r="AH89" s="45"/>
      <c r="AI89" s="46"/>
      <c r="AJ89" s="47" t="s">
        <v>16</v>
      </c>
      <c r="AK89" s="48"/>
      <c r="AL89" s="49">
        <f>AC112+AE112</f>
        <v>4828</v>
      </c>
      <c r="AO89" s="102">
        <f t="shared" ref="AO89:AT89" si="19">SUM(AO61:AO88)</f>
        <v>775</v>
      </c>
      <c r="AP89" s="103">
        <f t="shared" si="19"/>
        <v>5095</v>
      </c>
      <c r="AQ89" s="104">
        <f t="shared" si="19"/>
        <v>335</v>
      </c>
      <c r="AR89" s="105">
        <f t="shared" si="19"/>
        <v>4401</v>
      </c>
      <c r="AS89" s="106">
        <f t="shared" si="19"/>
        <v>320.5</v>
      </c>
      <c r="AT89" s="107">
        <f t="shared" si="19"/>
        <v>1457</v>
      </c>
      <c r="AU89" s="108" t="s">
        <v>54</v>
      </c>
      <c r="AV89" s="109"/>
      <c r="BB89" s="69"/>
      <c r="BC89" s="70">
        <v>634</v>
      </c>
      <c r="BD89" s="71">
        <v>0</v>
      </c>
      <c r="BE89" s="70"/>
      <c r="BF89" s="70"/>
      <c r="BG89" s="70">
        <v>200</v>
      </c>
      <c r="BH89" s="72" t="s">
        <v>86</v>
      </c>
      <c r="BI89" s="73"/>
      <c r="BJ89" s="74" t="s">
        <v>26</v>
      </c>
      <c r="BK89" s="57"/>
      <c r="BL89" s="49">
        <f>BB108+BL86+BL87-BL88-BE108-BF108</f>
        <v>3508</v>
      </c>
    </row>
    <row r="90" ht="15.75" spans="2:64">
      <c r="B90" s="69"/>
      <c r="C90" s="70">
        <v>208</v>
      </c>
      <c r="D90" s="71"/>
      <c r="E90" s="70"/>
      <c r="F90" s="70"/>
      <c r="G90" s="70">
        <v>113</v>
      </c>
      <c r="H90" s="72" t="s">
        <v>87</v>
      </c>
      <c r="I90" s="73"/>
      <c r="J90" s="77"/>
      <c r="K90" s="80" t="s">
        <v>34</v>
      </c>
      <c r="L90" s="81">
        <f>L86/6</f>
        <v>155.716666666667</v>
      </c>
      <c r="O90" s="50"/>
      <c r="P90" s="51" t="s">
        <v>17</v>
      </c>
      <c r="Q90" s="51" t="s">
        <v>18</v>
      </c>
      <c r="R90" s="52" t="s">
        <v>17</v>
      </c>
      <c r="S90" s="52" t="s">
        <v>18</v>
      </c>
      <c r="T90" s="53"/>
      <c r="U90" s="54"/>
      <c r="V90" s="55"/>
      <c r="W90" s="56" t="s">
        <v>19</v>
      </c>
      <c r="X90" s="57"/>
      <c r="Y90" s="49">
        <f>Q112+S112</f>
        <v>560.75</v>
      </c>
      <c r="AB90" s="50"/>
      <c r="AC90" s="51" t="s">
        <v>17</v>
      </c>
      <c r="AD90" s="51" t="s">
        <v>18</v>
      </c>
      <c r="AE90" s="52" t="s">
        <v>17</v>
      </c>
      <c r="AF90" s="52" t="s">
        <v>18</v>
      </c>
      <c r="AG90" s="53"/>
      <c r="AH90" s="54"/>
      <c r="AI90" s="55"/>
      <c r="AJ90" s="56" t="s">
        <v>19</v>
      </c>
      <c r="AK90" s="57"/>
      <c r="AL90" s="49">
        <f>AD112+AF112</f>
        <v>416.95</v>
      </c>
      <c r="BB90" s="59"/>
      <c r="BC90" s="60">
        <v>152</v>
      </c>
      <c r="BD90" s="61"/>
      <c r="BE90" s="62"/>
      <c r="BF90" s="61"/>
      <c r="BG90" s="61">
        <v>260</v>
      </c>
      <c r="BH90" s="75" t="s">
        <v>88</v>
      </c>
      <c r="BI90" s="76"/>
      <c r="BJ90" s="77"/>
      <c r="BK90" s="78" t="s">
        <v>30</v>
      </c>
      <c r="BL90" s="79">
        <f>BL87/4</f>
        <v>89.875</v>
      </c>
    </row>
    <row r="91" ht="15.75" spans="2:64">
      <c r="B91" s="59"/>
      <c r="C91" s="60">
        <v>50</v>
      </c>
      <c r="D91" s="61"/>
      <c r="E91" s="62"/>
      <c r="F91" s="61"/>
      <c r="G91" s="61">
        <v>145</v>
      </c>
      <c r="H91" s="75" t="s">
        <v>89</v>
      </c>
      <c r="I91" s="76"/>
      <c r="J91" s="77"/>
      <c r="K91" s="82" t="s">
        <v>37</v>
      </c>
      <c r="L91" s="83">
        <f>L86/8</f>
        <v>116.7875</v>
      </c>
      <c r="O91" s="59">
        <v>4840</v>
      </c>
      <c r="P91" s="60"/>
      <c r="Q91" s="61"/>
      <c r="R91" s="62">
        <v>338</v>
      </c>
      <c r="S91" s="61">
        <v>16.9</v>
      </c>
      <c r="T91" s="61">
        <v>67</v>
      </c>
      <c r="U91" s="63" t="s">
        <v>90</v>
      </c>
      <c r="V91" s="64"/>
      <c r="W91" s="65" t="s">
        <v>21</v>
      </c>
      <c r="X91" s="66"/>
      <c r="Y91" s="67">
        <f>T112</f>
        <v>4509</v>
      </c>
      <c r="AB91" s="59">
        <v>874</v>
      </c>
      <c r="AC91" s="60"/>
      <c r="AD91" s="61"/>
      <c r="AE91" s="62">
        <v>314</v>
      </c>
      <c r="AF91" s="61">
        <v>15.7</v>
      </c>
      <c r="AG91" s="61"/>
      <c r="AH91" s="63"/>
      <c r="AI91" s="64"/>
      <c r="AJ91" s="65" t="s">
        <v>21</v>
      </c>
      <c r="AK91" s="66"/>
      <c r="AL91" s="67">
        <f>AG112</f>
        <v>0</v>
      </c>
      <c r="BB91" s="69"/>
      <c r="BC91" s="70">
        <v>793</v>
      </c>
      <c r="BD91" s="71">
        <v>87</v>
      </c>
      <c r="BE91" s="70"/>
      <c r="BF91" s="70"/>
      <c r="BG91" s="70">
        <v>10</v>
      </c>
      <c r="BH91" s="72" t="s">
        <v>91</v>
      </c>
      <c r="BI91" s="73"/>
      <c r="BJ91" s="77"/>
      <c r="BK91" s="80" t="s">
        <v>34</v>
      </c>
      <c r="BL91" s="81">
        <f>BL87/6</f>
        <v>59.9166666666667</v>
      </c>
    </row>
    <row r="92" ht="15.75" spans="2:64">
      <c r="B92" s="69"/>
      <c r="C92" s="70"/>
      <c r="D92" s="85"/>
      <c r="E92" s="70">
        <v>505</v>
      </c>
      <c r="F92" s="70">
        <v>50.5</v>
      </c>
      <c r="G92" s="70">
        <v>120</v>
      </c>
      <c r="H92" s="72" t="s">
        <v>59</v>
      </c>
      <c r="I92" s="73"/>
      <c r="J92" s="86"/>
      <c r="K92" s="77"/>
      <c r="L92" s="87"/>
      <c r="O92" s="69"/>
      <c r="P92" s="70">
        <v>175</v>
      </c>
      <c r="Q92" s="71">
        <v>20</v>
      </c>
      <c r="R92" s="70"/>
      <c r="S92" s="70"/>
      <c r="T92" s="70">
        <v>212</v>
      </c>
      <c r="U92" s="72" t="s">
        <v>92</v>
      </c>
      <c r="V92" s="73"/>
      <c r="W92" s="74" t="s">
        <v>26</v>
      </c>
      <c r="X92" s="57"/>
      <c r="Y92" s="49">
        <f>O112+Y89+Y90-Y91-R112-S112</f>
        <v>3995</v>
      </c>
      <c r="AB92" s="69"/>
      <c r="AC92" s="70">
        <v>450</v>
      </c>
      <c r="AD92" s="71">
        <v>60</v>
      </c>
      <c r="AE92" s="70"/>
      <c r="AF92" s="70"/>
      <c r="AG92" s="70"/>
      <c r="AH92" s="72"/>
      <c r="AI92" s="73"/>
      <c r="AJ92" s="74" t="s">
        <v>26</v>
      </c>
      <c r="AK92" s="57"/>
      <c r="AL92" s="49">
        <f>AB112+AL89+AL90-AL91-AE112-AF112</f>
        <v>3130</v>
      </c>
      <c r="AO92" s="33" t="s">
        <v>93</v>
      </c>
      <c r="AP92" s="34"/>
      <c r="AQ92" s="34"/>
      <c r="AR92" s="34"/>
      <c r="AS92" s="34"/>
      <c r="AT92" s="34"/>
      <c r="AU92" s="34"/>
      <c r="AV92" s="34"/>
      <c r="AW92" s="34"/>
      <c r="AX92" s="34"/>
      <c r="AY92" s="35"/>
      <c r="BB92" s="59"/>
      <c r="BC92" s="60"/>
      <c r="BD92" s="61"/>
      <c r="BE92" s="62">
        <v>475</v>
      </c>
      <c r="BF92" s="61">
        <v>47.5</v>
      </c>
      <c r="BG92" s="61">
        <v>46</v>
      </c>
      <c r="BH92" s="75" t="s">
        <v>94</v>
      </c>
      <c r="BI92" s="84"/>
      <c r="BJ92" s="77"/>
      <c r="BK92" s="82" t="s">
        <v>37</v>
      </c>
      <c r="BL92" s="83">
        <f>BL87/8</f>
        <v>44.9375</v>
      </c>
    </row>
    <row r="93" ht="15.75" spans="2:64">
      <c r="B93" s="59"/>
      <c r="C93" s="60"/>
      <c r="D93" s="61"/>
      <c r="E93" s="62">
        <v>413</v>
      </c>
      <c r="F93" s="61">
        <v>41.3</v>
      </c>
      <c r="G93" s="61"/>
      <c r="H93" s="75"/>
      <c r="I93" s="76"/>
      <c r="J93" s="77"/>
      <c r="K93" s="58"/>
      <c r="L93" s="58"/>
      <c r="O93" s="59"/>
      <c r="P93" s="60"/>
      <c r="Q93" s="61"/>
      <c r="R93" s="62">
        <v>225</v>
      </c>
      <c r="S93" s="61">
        <v>22.5</v>
      </c>
      <c r="T93" s="61">
        <v>4200</v>
      </c>
      <c r="U93" s="75" t="s">
        <v>77</v>
      </c>
      <c r="V93" s="76"/>
      <c r="W93" s="77"/>
      <c r="X93" s="78" t="s">
        <v>30</v>
      </c>
      <c r="Y93" s="79">
        <f>Y90/4</f>
        <v>140.1875</v>
      </c>
      <c r="AB93" s="59"/>
      <c r="AC93" s="60">
        <v>137</v>
      </c>
      <c r="AD93" s="61"/>
      <c r="AE93" s="62"/>
      <c r="AF93" s="61"/>
      <c r="AG93" s="61"/>
      <c r="AH93" s="75"/>
      <c r="AI93" s="76"/>
      <c r="AJ93" s="77"/>
      <c r="AK93" s="78" t="s">
        <v>30</v>
      </c>
      <c r="AL93" s="79">
        <f>AL90/4</f>
        <v>104.2375</v>
      </c>
      <c r="AO93" s="36"/>
      <c r="AP93" s="37"/>
      <c r="AQ93" s="37"/>
      <c r="AR93" s="37"/>
      <c r="AS93" s="37"/>
      <c r="AT93" s="37"/>
      <c r="AU93" s="37"/>
      <c r="AV93" s="37"/>
      <c r="AW93" s="37"/>
      <c r="AX93" s="37"/>
      <c r="AY93" s="38"/>
      <c r="BB93" s="69"/>
      <c r="BC93" s="70">
        <v>289</v>
      </c>
      <c r="BD93" s="85"/>
      <c r="BE93" s="70"/>
      <c r="BF93" s="70"/>
      <c r="BG93" s="70"/>
      <c r="BH93" s="72"/>
      <c r="BI93" s="73"/>
      <c r="BJ93" s="86"/>
      <c r="BK93" s="77"/>
      <c r="BL93" s="87"/>
    </row>
    <row r="94" ht="15.75" spans="2:64">
      <c r="B94" s="69"/>
      <c r="C94" s="70"/>
      <c r="D94" s="71"/>
      <c r="E94" s="70">
        <v>97</v>
      </c>
      <c r="F94" s="70">
        <v>9.7</v>
      </c>
      <c r="G94" s="70"/>
      <c r="H94" s="72"/>
      <c r="I94" s="73"/>
      <c r="J94" s="77"/>
      <c r="K94" s="58"/>
      <c r="L94" s="58"/>
      <c r="O94" s="69"/>
      <c r="P94" s="70">
        <v>465</v>
      </c>
      <c r="Q94" s="71">
        <v>39</v>
      </c>
      <c r="R94" s="70"/>
      <c r="S94" s="70"/>
      <c r="T94" s="70">
        <v>30</v>
      </c>
      <c r="U94" s="72" t="s">
        <v>29</v>
      </c>
      <c r="V94" s="73"/>
      <c r="W94" s="77"/>
      <c r="X94" s="80" t="s">
        <v>34</v>
      </c>
      <c r="Y94" s="81">
        <f>Y90/6</f>
        <v>93.4583333333333</v>
      </c>
      <c r="AB94" s="69"/>
      <c r="AC94" s="70"/>
      <c r="AD94" s="71"/>
      <c r="AE94" s="70">
        <v>137</v>
      </c>
      <c r="AF94" s="70"/>
      <c r="AG94" s="70"/>
      <c r="AH94" s="72"/>
      <c r="AI94" s="73"/>
      <c r="AJ94" s="77"/>
      <c r="AK94" s="80" t="s">
        <v>34</v>
      </c>
      <c r="AL94" s="81">
        <f>AL90/6</f>
        <v>69.4916666666667</v>
      </c>
      <c r="AO94" s="39" t="s">
        <v>12</v>
      </c>
      <c r="AP94" s="40" t="s">
        <v>13</v>
      </c>
      <c r="AQ94" s="41"/>
      <c r="AR94" s="42" t="s">
        <v>14</v>
      </c>
      <c r="AS94" s="43"/>
      <c r="AT94" s="44" t="s">
        <v>15</v>
      </c>
      <c r="AU94" s="45"/>
      <c r="AV94" s="46"/>
      <c r="AW94" s="47" t="s">
        <v>16</v>
      </c>
      <c r="AX94" s="48"/>
      <c r="AY94" s="49">
        <f>AP124+AR124</f>
        <v>9911</v>
      </c>
      <c r="BB94" s="59"/>
      <c r="BC94" s="60">
        <v>565</v>
      </c>
      <c r="BD94" s="61">
        <v>135</v>
      </c>
      <c r="BE94" s="62"/>
      <c r="BF94" s="61"/>
      <c r="BG94" s="61"/>
      <c r="BH94" s="75"/>
      <c r="BI94" s="84"/>
      <c r="BJ94" s="77"/>
      <c r="BK94" s="58"/>
      <c r="BL94" s="58"/>
    </row>
    <row r="95" ht="15.75" spans="2:64">
      <c r="B95" s="59"/>
      <c r="C95" s="60">
        <v>1319</v>
      </c>
      <c r="D95" s="88">
        <v>181</v>
      </c>
      <c r="E95" s="62"/>
      <c r="F95" s="61"/>
      <c r="G95" s="61"/>
      <c r="H95" s="75"/>
      <c r="I95" s="76"/>
      <c r="J95" s="77"/>
      <c r="K95" s="58"/>
      <c r="L95" s="58"/>
      <c r="O95" s="59"/>
      <c r="P95" s="60">
        <v>104</v>
      </c>
      <c r="Q95" s="61"/>
      <c r="R95" s="62"/>
      <c r="S95" s="61"/>
      <c r="T95" s="61"/>
      <c r="U95" s="75"/>
      <c r="V95" s="76"/>
      <c r="W95" s="77"/>
      <c r="X95" s="82" t="s">
        <v>37</v>
      </c>
      <c r="Y95" s="83">
        <f>Y90/8</f>
        <v>70.09375</v>
      </c>
      <c r="AB95" s="59"/>
      <c r="AC95" s="60">
        <v>532</v>
      </c>
      <c r="AD95" s="61">
        <v>30</v>
      </c>
      <c r="AE95" s="62"/>
      <c r="AF95" s="61"/>
      <c r="AG95" s="61"/>
      <c r="AH95" s="75"/>
      <c r="AI95" s="76"/>
      <c r="AJ95" s="77"/>
      <c r="AK95" s="82" t="s">
        <v>37</v>
      </c>
      <c r="AL95" s="83">
        <f>AL90/8</f>
        <v>52.11875</v>
      </c>
      <c r="AO95" s="50"/>
      <c r="AP95" s="51" t="s">
        <v>17</v>
      </c>
      <c r="AQ95" s="51" t="s">
        <v>18</v>
      </c>
      <c r="AR95" s="52" t="s">
        <v>17</v>
      </c>
      <c r="AS95" s="52" t="s">
        <v>18</v>
      </c>
      <c r="AT95" s="53"/>
      <c r="AU95" s="54"/>
      <c r="AV95" s="55"/>
      <c r="AW95" s="56" t="s">
        <v>19</v>
      </c>
      <c r="AX95" s="57"/>
      <c r="AY95" s="49">
        <f>AQ124+AS124</f>
        <v>1038.6</v>
      </c>
      <c r="BB95" s="69"/>
      <c r="BC95" s="70">
        <v>268</v>
      </c>
      <c r="BD95" s="85">
        <v>40</v>
      </c>
      <c r="BE95" s="70"/>
      <c r="BF95" s="70"/>
      <c r="BG95" s="70"/>
      <c r="BH95" s="72"/>
      <c r="BI95" s="73"/>
      <c r="BJ95" s="77"/>
      <c r="BK95" s="58"/>
      <c r="BL95" s="58"/>
    </row>
    <row r="96" ht="15.75" spans="2:64">
      <c r="B96" s="69"/>
      <c r="C96" s="70">
        <v>407</v>
      </c>
      <c r="D96" s="71">
        <v>58</v>
      </c>
      <c r="E96" s="70"/>
      <c r="F96" s="70"/>
      <c r="G96" s="70"/>
      <c r="H96" s="72"/>
      <c r="I96" s="73"/>
      <c r="J96" s="89" t="s">
        <v>44</v>
      </c>
      <c r="K96" s="90" t="s">
        <v>45</v>
      </c>
      <c r="L96" s="90" t="s">
        <v>46</v>
      </c>
      <c r="O96" s="69"/>
      <c r="P96" s="70"/>
      <c r="Q96" s="85"/>
      <c r="R96" s="70">
        <v>443</v>
      </c>
      <c r="S96" s="70">
        <v>66.45</v>
      </c>
      <c r="T96" s="70"/>
      <c r="U96" s="72"/>
      <c r="V96" s="73"/>
      <c r="W96" s="86"/>
      <c r="X96" s="77"/>
      <c r="Y96" s="87"/>
      <c r="AB96" s="69"/>
      <c r="AC96" s="70">
        <v>647</v>
      </c>
      <c r="AD96" s="85">
        <v>30</v>
      </c>
      <c r="AE96" s="70"/>
      <c r="AF96" s="70"/>
      <c r="AG96" s="70"/>
      <c r="AH96" s="72"/>
      <c r="AI96" s="73"/>
      <c r="AJ96" s="86"/>
      <c r="AK96" s="77"/>
      <c r="AL96" s="87"/>
      <c r="AO96" s="59">
        <v>748</v>
      </c>
      <c r="AP96" s="68">
        <v>230</v>
      </c>
      <c r="AQ96" s="61">
        <v>25</v>
      </c>
      <c r="AR96" s="62">
        <v>416</v>
      </c>
      <c r="AS96" s="61">
        <v>41.6</v>
      </c>
      <c r="AT96" s="61">
        <v>37.5</v>
      </c>
      <c r="AU96" s="63" t="s">
        <v>95</v>
      </c>
      <c r="AV96" s="64"/>
      <c r="AW96" s="65" t="s">
        <v>21</v>
      </c>
      <c r="AX96" s="66"/>
      <c r="AY96" s="67">
        <f>AT124</f>
        <v>424.5</v>
      </c>
      <c r="BB96" s="59"/>
      <c r="BC96" s="60">
        <v>45</v>
      </c>
      <c r="BD96" s="61"/>
      <c r="BE96" s="62"/>
      <c r="BF96" s="61"/>
      <c r="BG96" s="61"/>
      <c r="BH96" s="75"/>
      <c r="BI96" s="84"/>
      <c r="BJ96" s="77"/>
      <c r="BK96" s="58"/>
      <c r="BL96" s="58"/>
    </row>
    <row r="97" ht="15.75" spans="2:64">
      <c r="B97" s="59"/>
      <c r="C97" s="60"/>
      <c r="D97" s="61"/>
      <c r="E97" s="62">
        <v>623</v>
      </c>
      <c r="F97" s="61">
        <v>62.3</v>
      </c>
      <c r="G97" s="61"/>
      <c r="H97" s="75"/>
      <c r="I97" s="76"/>
      <c r="J97" s="92" t="s">
        <v>47</v>
      </c>
      <c r="K97" s="93" t="s">
        <v>48</v>
      </c>
      <c r="L97" s="93" t="s">
        <v>96</v>
      </c>
      <c r="O97" s="59"/>
      <c r="P97" s="60"/>
      <c r="Q97" s="61">
        <v>20</v>
      </c>
      <c r="R97" s="62">
        <v>483</v>
      </c>
      <c r="S97" s="61"/>
      <c r="T97" s="61"/>
      <c r="U97" s="75"/>
      <c r="V97" s="76"/>
      <c r="W97" s="77"/>
      <c r="X97" s="58"/>
      <c r="Y97" s="58"/>
      <c r="AB97" s="59"/>
      <c r="AC97" s="60"/>
      <c r="AD97" s="61"/>
      <c r="AE97" s="62">
        <v>470</v>
      </c>
      <c r="AF97" s="61">
        <v>47</v>
      </c>
      <c r="AG97" s="61"/>
      <c r="AH97" s="75"/>
      <c r="AI97" s="76"/>
      <c r="AJ97" s="77"/>
      <c r="AK97" s="58"/>
      <c r="AL97" s="58"/>
      <c r="AO97" s="69"/>
      <c r="AP97" s="70"/>
      <c r="AQ97" s="71"/>
      <c r="AR97" s="70">
        <v>137</v>
      </c>
      <c r="AS97" s="70"/>
      <c r="AT97" s="70">
        <v>50</v>
      </c>
      <c r="AU97" s="72" t="s">
        <v>60</v>
      </c>
      <c r="AV97" s="73"/>
      <c r="AW97" s="74" t="s">
        <v>26</v>
      </c>
      <c r="AX97" s="57"/>
      <c r="AY97" s="49">
        <f>AO124+AY94+AY95-AY96-AR124-AS124</f>
        <v>4565.5</v>
      </c>
      <c r="BB97" s="69"/>
      <c r="BC97" s="70"/>
      <c r="BD97" s="85"/>
      <c r="BE97" s="70"/>
      <c r="BF97" s="70"/>
      <c r="BG97" s="70"/>
      <c r="BH97" s="72"/>
      <c r="BI97" s="73"/>
      <c r="BJ97" s="89" t="s">
        <v>44</v>
      </c>
      <c r="BK97" s="90" t="s">
        <v>45</v>
      </c>
      <c r="BL97" s="90" t="s">
        <v>46</v>
      </c>
    </row>
    <row r="98" spans="2:64">
      <c r="B98" s="69"/>
      <c r="C98" s="70"/>
      <c r="D98" s="71"/>
      <c r="E98" s="70">
        <v>455</v>
      </c>
      <c r="F98" s="70">
        <v>45.5</v>
      </c>
      <c r="G98" s="70"/>
      <c r="H98" s="72"/>
      <c r="I98" s="73"/>
      <c r="J98" s="94" t="s">
        <v>52</v>
      </c>
      <c r="K98" s="95" t="s">
        <v>27</v>
      </c>
      <c r="L98" s="95" t="s">
        <v>31</v>
      </c>
      <c r="O98" s="69"/>
      <c r="P98" s="70">
        <v>230</v>
      </c>
      <c r="Q98" s="71">
        <v>29</v>
      </c>
      <c r="R98" s="70"/>
      <c r="S98" s="70"/>
      <c r="T98" s="70"/>
      <c r="U98" s="72"/>
      <c r="V98" s="73"/>
      <c r="W98" s="77"/>
      <c r="X98" s="58"/>
      <c r="Y98" s="58"/>
      <c r="AB98" s="69"/>
      <c r="AC98" s="70"/>
      <c r="AD98" s="71"/>
      <c r="AE98" s="70">
        <v>364</v>
      </c>
      <c r="AF98" s="70">
        <v>36.4</v>
      </c>
      <c r="AG98" s="70"/>
      <c r="AH98" s="72"/>
      <c r="AI98" s="73"/>
      <c r="AJ98" s="77"/>
      <c r="AK98" s="58"/>
      <c r="AL98" s="58"/>
      <c r="AO98" s="59"/>
      <c r="AP98" s="60"/>
      <c r="AQ98" s="61"/>
      <c r="AR98" s="62">
        <v>142</v>
      </c>
      <c r="AS98" s="61">
        <v>14.2</v>
      </c>
      <c r="AT98" s="61">
        <v>30</v>
      </c>
      <c r="AU98" s="75" t="s">
        <v>97</v>
      </c>
      <c r="AV98" s="76"/>
      <c r="AW98" s="77"/>
      <c r="AX98" s="78" t="s">
        <v>30</v>
      </c>
      <c r="AY98" s="79">
        <f>AY95/4</f>
        <v>259.65</v>
      </c>
      <c r="BB98" s="59"/>
      <c r="BC98" s="60"/>
      <c r="BD98" s="61"/>
      <c r="BE98" s="62"/>
      <c r="BF98" s="61"/>
      <c r="BG98" s="61"/>
      <c r="BH98" s="75"/>
      <c r="BI98" s="84"/>
      <c r="BJ98" s="92" t="s">
        <v>47</v>
      </c>
      <c r="BK98" s="93" t="s">
        <v>27</v>
      </c>
      <c r="BL98" s="93" t="s">
        <v>66</v>
      </c>
    </row>
    <row r="99" spans="2:64">
      <c r="B99" s="59"/>
      <c r="C99" s="60"/>
      <c r="D99" s="61">
        <v>73</v>
      </c>
      <c r="E99" s="62">
        <v>268</v>
      </c>
      <c r="F99" s="61"/>
      <c r="G99" s="61"/>
      <c r="H99" s="75"/>
      <c r="I99" s="76"/>
      <c r="J99" s="77"/>
      <c r="K99" s="77"/>
      <c r="L99" s="87"/>
      <c r="O99" s="59"/>
      <c r="P99" s="60">
        <v>665</v>
      </c>
      <c r="Q99" s="88">
        <v>49</v>
      </c>
      <c r="R99" s="62"/>
      <c r="S99" s="61"/>
      <c r="T99" s="61"/>
      <c r="U99" s="75"/>
      <c r="V99" s="76"/>
      <c r="W99" s="77"/>
      <c r="X99" s="58"/>
      <c r="Y99" s="58"/>
      <c r="AB99" s="59"/>
      <c r="AC99" s="60"/>
      <c r="AD99" s="88"/>
      <c r="AE99" s="62">
        <v>176</v>
      </c>
      <c r="AF99" s="61"/>
      <c r="AG99" s="61"/>
      <c r="AH99" s="75"/>
      <c r="AI99" s="76"/>
      <c r="AJ99" s="77"/>
      <c r="AK99" s="58"/>
      <c r="AL99" s="58"/>
      <c r="AO99" s="69"/>
      <c r="AP99" s="70">
        <v>718</v>
      </c>
      <c r="AQ99" s="71">
        <v>55</v>
      </c>
      <c r="AR99" s="70"/>
      <c r="AS99" s="70"/>
      <c r="AT99" s="70">
        <v>16.5</v>
      </c>
      <c r="AU99" s="72" t="s">
        <v>98</v>
      </c>
      <c r="AV99" s="73"/>
      <c r="AW99" s="77"/>
      <c r="AX99" s="80" t="s">
        <v>34</v>
      </c>
      <c r="AY99" s="81">
        <f>AY95/6</f>
        <v>173.1</v>
      </c>
      <c r="BB99" s="69"/>
      <c r="BC99" s="70"/>
      <c r="BD99" s="85"/>
      <c r="BE99" s="70"/>
      <c r="BF99" s="70"/>
      <c r="BG99" s="70"/>
      <c r="BH99" s="72"/>
      <c r="BI99" s="73"/>
      <c r="BJ99" s="94" t="s">
        <v>52</v>
      </c>
      <c r="BK99" s="95" t="s">
        <v>48</v>
      </c>
      <c r="BL99" s="95" t="s">
        <v>65</v>
      </c>
    </row>
    <row r="100" spans="2:64">
      <c r="B100" s="69"/>
      <c r="C100" s="70">
        <v>626</v>
      </c>
      <c r="D100" s="71">
        <v>100</v>
      </c>
      <c r="E100" s="70"/>
      <c r="F100" s="70"/>
      <c r="G100" s="70"/>
      <c r="H100" s="72"/>
      <c r="I100" s="73"/>
      <c r="J100" s="58"/>
      <c r="K100" s="58"/>
      <c r="L100" s="58"/>
      <c r="O100" s="69"/>
      <c r="P100" s="70"/>
      <c r="Q100" s="71"/>
      <c r="R100" s="70">
        <v>323</v>
      </c>
      <c r="S100" s="70"/>
      <c r="T100" s="70"/>
      <c r="U100" s="72"/>
      <c r="V100" s="73"/>
      <c r="W100" s="89" t="s">
        <v>44</v>
      </c>
      <c r="X100" s="90" t="s">
        <v>45</v>
      </c>
      <c r="Y100" s="90" t="s">
        <v>46</v>
      </c>
      <c r="AB100" s="69"/>
      <c r="AC100" s="70">
        <v>340</v>
      </c>
      <c r="AD100" s="71">
        <v>30</v>
      </c>
      <c r="AE100" s="70"/>
      <c r="AF100" s="70"/>
      <c r="AG100" s="70"/>
      <c r="AH100" s="72"/>
      <c r="AI100" s="73"/>
      <c r="AJ100" s="89" t="s">
        <v>44</v>
      </c>
      <c r="AK100" s="90" t="s">
        <v>45</v>
      </c>
      <c r="AL100" s="90" t="s">
        <v>46</v>
      </c>
      <c r="AO100" s="59"/>
      <c r="AP100" s="60"/>
      <c r="AQ100" s="61"/>
      <c r="AR100" s="62">
        <v>503</v>
      </c>
      <c r="AS100" s="61">
        <v>50.3</v>
      </c>
      <c r="AT100" s="61">
        <v>30</v>
      </c>
      <c r="AU100" s="75" t="s">
        <v>99</v>
      </c>
      <c r="AV100" s="84"/>
      <c r="AW100" s="77"/>
      <c r="AX100" s="82" t="s">
        <v>37</v>
      </c>
      <c r="AY100" s="83">
        <f>AY95/8</f>
        <v>129.825</v>
      </c>
      <c r="BB100" s="59"/>
      <c r="BC100" s="60"/>
      <c r="BD100" s="61"/>
      <c r="BE100" s="62"/>
      <c r="BF100" s="61"/>
      <c r="BG100" s="61"/>
      <c r="BH100" s="75"/>
      <c r="BI100" s="84"/>
      <c r="BJ100" s="77"/>
      <c r="BK100" s="77"/>
      <c r="BL100" s="87"/>
    </row>
    <row r="101" spans="2:64">
      <c r="B101" s="59"/>
      <c r="C101" s="60"/>
      <c r="D101" s="61"/>
      <c r="E101" s="62">
        <v>642</v>
      </c>
      <c r="F101" s="61">
        <v>96.3</v>
      </c>
      <c r="G101" s="61"/>
      <c r="H101" s="75"/>
      <c r="I101" s="76"/>
      <c r="J101" s="58"/>
      <c r="K101" s="58"/>
      <c r="L101" s="58"/>
      <c r="O101" s="59"/>
      <c r="P101" s="60">
        <v>393</v>
      </c>
      <c r="Q101" s="61">
        <v>39</v>
      </c>
      <c r="R101" s="62"/>
      <c r="S101" s="61"/>
      <c r="T101" s="61"/>
      <c r="U101" s="75"/>
      <c r="V101" s="76"/>
      <c r="W101" s="92" t="s">
        <v>47</v>
      </c>
      <c r="X101" s="93" t="s">
        <v>48</v>
      </c>
      <c r="Y101" s="93" t="s">
        <v>51</v>
      </c>
      <c r="AB101" s="59"/>
      <c r="AC101" s="60"/>
      <c r="AD101" s="61"/>
      <c r="AE101" s="62">
        <v>142</v>
      </c>
      <c r="AF101" s="61"/>
      <c r="AG101" s="61"/>
      <c r="AH101" s="75"/>
      <c r="AI101" s="76"/>
      <c r="AJ101" s="92" t="s">
        <v>47</v>
      </c>
      <c r="AK101" s="93" t="s">
        <v>48</v>
      </c>
      <c r="AL101" s="93" t="s">
        <v>51</v>
      </c>
      <c r="AO101" s="69"/>
      <c r="AP101" s="70">
        <v>8</v>
      </c>
      <c r="AQ101" s="85"/>
      <c r="AR101" s="70"/>
      <c r="AS101" s="70"/>
      <c r="AT101" s="70">
        <v>30.5</v>
      </c>
      <c r="AU101" s="72" t="s">
        <v>100</v>
      </c>
      <c r="AV101" s="73"/>
      <c r="AW101" s="86"/>
      <c r="AX101" s="77"/>
      <c r="AY101" s="87"/>
      <c r="BB101" s="69"/>
      <c r="BC101" s="70"/>
      <c r="BD101" s="85"/>
      <c r="BE101" s="70"/>
      <c r="BF101" s="70"/>
      <c r="BG101" s="70"/>
      <c r="BH101" s="72"/>
      <c r="BI101" s="73"/>
      <c r="BJ101" s="58"/>
      <c r="BK101" s="58"/>
      <c r="BL101" s="58"/>
    </row>
    <row r="102" spans="2:64">
      <c r="B102" s="69"/>
      <c r="C102" s="71">
        <v>698</v>
      </c>
      <c r="D102" s="71">
        <v>2</v>
      </c>
      <c r="E102" s="70"/>
      <c r="F102" s="70"/>
      <c r="G102" s="70"/>
      <c r="H102" s="72"/>
      <c r="I102" s="73"/>
      <c r="J102" s="58"/>
      <c r="K102" s="58"/>
      <c r="L102" s="58"/>
      <c r="O102" s="69"/>
      <c r="P102" s="70">
        <v>208</v>
      </c>
      <c r="Q102" s="71"/>
      <c r="R102" s="70"/>
      <c r="S102" s="70"/>
      <c r="T102" s="70"/>
      <c r="U102" s="72"/>
      <c r="V102" s="73"/>
      <c r="W102" s="94" t="s">
        <v>52</v>
      </c>
      <c r="X102" s="95" t="s">
        <v>27</v>
      </c>
      <c r="Y102" s="95" t="s">
        <v>43</v>
      </c>
      <c r="AB102" s="69"/>
      <c r="AC102" s="70"/>
      <c r="AD102" s="71"/>
      <c r="AE102" s="70">
        <v>488</v>
      </c>
      <c r="AF102" s="70">
        <v>73.2</v>
      </c>
      <c r="AG102" s="70"/>
      <c r="AH102" s="72"/>
      <c r="AI102" s="73"/>
      <c r="AJ102" s="94" t="s">
        <v>52</v>
      </c>
      <c r="AK102" s="95" t="s">
        <v>27</v>
      </c>
      <c r="AL102" s="95" t="s">
        <v>43</v>
      </c>
      <c r="AO102" s="59"/>
      <c r="AP102" s="60"/>
      <c r="AQ102" s="61"/>
      <c r="AR102" s="62">
        <v>175</v>
      </c>
      <c r="AS102" s="61"/>
      <c r="AT102" s="61">
        <v>200</v>
      </c>
      <c r="AU102" s="75" t="s">
        <v>101</v>
      </c>
      <c r="AV102" s="84"/>
      <c r="AW102" s="77"/>
      <c r="AX102" s="58"/>
      <c r="AY102" s="58"/>
      <c r="BB102" s="59"/>
      <c r="BC102" s="60"/>
      <c r="BD102" s="61"/>
      <c r="BE102" s="62"/>
      <c r="BF102" s="61"/>
      <c r="BG102" s="61"/>
      <c r="BH102" s="75"/>
      <c r="BI102" s="76"/>
    </row>
    <row r="103" spans="2:64">
      <c r="B103" s="59"/>
      <c r="C103" s="61">
        <v>1001</v>
      </c>
      <c r="D103" s="61">
        <v>59</v>
      </c>
      <c r="E103" s="62"/>
      <c r="F103" s="61"/>
      <c r="G103" s="61"/>
      <c r="H103" s="75"/>
      <c r="I103" s="76"/>
      <c r="J103" s="58"/>
      <c r="K103" s="58"/>
      <c r="L103" s="58"/>
      <c r="O103" s="59"/>
      <c r="P103" s="60">
        <v>8</v>
      </c>
      <c r="Q103" s="61"/>
      <c r="R103" s="62"/>
      <c r="S103" s="61"/>
      <c r="T103" s="61"/>
      <c r="U103" s="75"/>
      <c r="V103" s="76"/>
      <c r="W103" s="77"/>
      <c r="X103" s="77"/>
      <c r="Y103" s="87"/>
      <c r="AB103" s="59"/>
      <c r="AC103" s="60"/>
      <c r="AD103" s="61"/>
      <c r="AE103" s="62">
        <v>315</v>
      </c>
      <c r="AF103" s="61">
        <v>47.25</v>
      </c>
      <c r="AG103" s="61"/>
      <c r="AH103" s="75"/>
      <c r="AI103" s="76"/>
      <c r="AJ103" s="77"/>
      <c r="AK103" s="77"/>
      <c r="AL103" s="87"/>
      <c r="AO103" s="69"/>
      <c r="AP103" s="70">
        <v>868</v>
      </c>
      <c r="AQ103" s="85">
        <v>132</v>
      </c>
      <c r="AR103" s="70"/>
      <c r="AS103" s="70"/>
      <c r="AT103" s="70">
        <v>30</v>
      </c>
      <c r="AU103" s="72" t="s">
        <v>29</v>
      </c>
      <c r="AV103" s="73"/>
      <c r="AW103" s="77"/>
      <c r="AX103" s="58"/>
      <c r="AY103" s="58"/>
      <c r="BB103" s="96"/>
      <c r="BC103" s="97"/>
      <c r="BD103" s="98"/>
      <c r="BE103" s="99"/>
      <c r="BF103" s="98"/>
      <c r="BG103" s="98"/>
      <c r="BH103" s="72"/>
      <c r="BI103" s="73"/>
    </row>
    <row r="104" spans="2:64">
      <c r="B104" s="69"/>
      <c r="C104" s="70"/>
      <c r="D104" s="71"/>
      <c r="E104" s="70">
        <v>339</v>
      </c>
      <c r="F104" s="70">
        <v>33.9</v>
      </c>
      <c r="G104" s="70"/>
      <c r="H104" s="72"/>
      <c r="I104" s="73"/>
      <c r="J104" s="58"/>
      <c r="K104" s="58"/>
      <c r="L104" s="58"/>
      <c r="O104" s="69"/>
      <c r="P104" s="70"/>
      <c r="Q104" s="71"/>
      <c r="R104" s="70">
        <v>134</v>
      </c>
      <c r="S104" s="70">
        <v>6.7</v>
      </c>
      <c r="T104" s="70"/>
      <c r="U104" s="72"/>
      <c r="V104" s="73"/>
      <c r="W104" s="58"/>
      <c r="X104" s="58"/>
      <c r="Y104" s="58"/>
      <c r="AB104" s="69"/>
      <c r="AC104" s="70"/>
      <c r="AD104" s="71"/>
      <c r="AE104" s="70">
        <v>316</v>
      </c>
      <c r="AF104" s="70">
        <v>47.4</v>
      </c>
      <c r="AG104" s="70"/>
      <c r="AH104" s="72"/>
      <c r="AI104" s="73"/>
      <c r="AJ104" s="58"/>
      <c r="AK104" s="58"/>
      <c r="AL104" s="58"/>
      <c r="AO104" s="59"/>
      <c r="AP104" s="60">
        <v>208</v>
      </c>
      <c r="AQ104" s="61"/>
      <c r="AR104" s="62"/>
      <c r="AS104" s="61"/>
      <c r="AT104" s="61"/>
      <c r="AU104" s="75"/>
      <c r="AV104" s="84"/>
      <c r="AW104" s="77"/>
      <c r="AX104" s="58"/>
      <c r="AY104" s="58"/>
      <c r="BB104" s="59"/>
      <c r="BC104" s="60"/>
      <c r="BD104" s="61"/>
      <c r="BE104" s="62"/>
      <c r="BF104" s="61"/>
      <c r="BG104" s="61"/>
      <c r="BH104" s="75"/>
      <c r="BI104" s="76"/>
    </row>
    <row r="105" spans="2:64">
      <c r="B105" s="59"/>
      <c r="C105" s="60">
        <v>420</v>
      </c>
      <c r="D105" s="61">
        <v>50</v>
      </c>
      <c r="E105" s="62"/>
      <c r="F105" s="61"/>
      <c r="G105" s="61"/>
      <c r="H105" s="75"/>
      <c r="I105" s="76"/>
      <c r="J105" s="58"/>
      <c r="K105" s="58"/>
      <c r="L105" s="58"/>
      <c r="O105" s="59"/>
      <c r="P105" s="60">
        <v>609</v>
      </c>
      <c r="Q105" s="61">
        <v>111</v>
      </c>
      <c r="R105" s="62"/>
      <c r="S105" s="61"/>
      <c r="T105" s="61"/>
      <c r="U105" s="75"/>
      <c r="V105" s="76"/>
      <c r="W105" s="58"/>
      <c r="X105" s="58"/>
      <c r="Y105" s="58"/>
      <c r="AB105" s="59"/>
      <c r="AC105" s="60"/>
      <c r="AD105" s="61"/>
      <c r="AE105" s="62"/>
      <c r="AF105" s="61"/>
      <c r="AG105" s="61"/>
      <c r="AH105" s="75"/>
      <c r="AI105" s="76"/>
      <c r="AJ105" s="58"/>
      <c r="AK105" s="58"/>
      <c r="AL105" s="58"/>
      <c r="AO105" s="69"/>
      <c r="AP105" s="70"/>
      <c r="AQ105" s="85">
        <v>50</v>
      </c>
      <c r="AR105" s="70">
        <v>467</v>
      </c>
      <c r="AS105" s="70"/>
      <c r="AT105" s="70"/>
      <c r="AU105" s="72"/>
      <c r="AV105" s="73"/>
      <c r="AW105" s="89" t="s">
        <v>44</v>
      </c>
      <c r="AX105" s="90" t="s">
        <v>45</v>
      </c>
      <c r="AY105" s="90" t="s">
        <v>46</v>
      </c>
      <c r="BB105" s="96"/>
      <c r="BC105" s="97"/>
      <c r="BD105" s="98"/>
      <c r="BE105" s="99"/>
      <c r="BF105" s="98"/>
      <c r="BG105" s="98"/>
      <c r="BH105" s="72"/>
      <c r="BI105" s="73"/>
    </row>
    <row r="106" spans="2:64">
      <c r="B106" s="69"/>
      <c r="C106" s="70"/>
      <c r="D106" s="71"/>
      <c r="E106" s="70"/>
      <c r="F106" s="70"/>
      <c r="G106" s="70"/>
      <c r="H106" s="72"/>
      <c r="I106" s="73"/>
      <c r="J106" s="58"/>
      <c r="O106" s="69"/>
      <c r="P106" s="71">
        <v>450</v>
      </c>
      <c r="Q106" s="71">
        <v>50</v>
      </c>
      <c r="R106" s="70"/>
      <c r="S106" s="70"/>
      <c r="T106" s="70"/>
      <c r="U106" s="72"/>
      <c r="V106" s="73"/>
      <c r="W106" s="58"/>
      <c r="X106" s="58"/>
      <c r="Y106" s="58"/>
      <c r="AB106" s="69"/>
      <c r="AC106" s="71"/>
      <c r="AD106" s="71"/>
      <c r="AE106" s="70"/>
      <c r="AF106" s="70"/>
      <c r="AG106" s="70"/>
      <c r="AH106" s="72"/>
      <c r="AI106" s="73"/>
      <c r="AJ106" s="58"/>
      <c r="AK106" s="58"/>
      <c r="AL106" s="58"/>
      <c r="AO106" s="59"/>
      <c r="AP106" s="60">
        <v>373</v>
      </c>
      <c r="AQ106" s="61">
        <v>50</v>
      </c>
      <c r="AR106" s="62"/>
      <c r="AS106" s="61"/>
      <c r="AT106" s="61"/>
      <c r="AU106" s="75"/>
      <c r="AV106" s="84"/>
      <c r="AW106" s="92" t="s">
        <v>47</v>
      </c>
      <c r="AX106" s="93" t="s">
        <v>51</v>
      </c>
      <c r="AY106" s="93" t="s">
        <v>43</v>
      </c>
      <c r="BB106" s="59"/>
      <c r="BC106" s="60"/>
      <c r="BD106" s="61"/>
      <c r="BE106" s="62"/>
      <c r="BF106" s="61"/>
      <c r="BG106" s="61"/>
      <c r="BH106" s="75"/>
      <c r="BI106" s="76"/>
    </row>
    <row r="107" ht="15.75" spans="2:64">
      <c r="B107" s="59"/>
      <c r="C107" s="60"/>
      <c r="D107" s="61"/>
      <c r="E107" s="62"/>
      <c r="F107" s="61"/>
      <c r="G107" s="61"/>
      <c r="H107" s="75"/>
      <c r="I107" s="76"/>
      <c r="J107" s="58"/>
      <c r="O107" s="59"/>
      <c r="P107" s="61"/>
      <c r="Q107" s="61"/>
      <c r="R107" s="62">
        <v>490</v>
      </c>
      <c r="S107" s="61"/>
      <c r="T107" s="61"/>
      <c r="U107" s="75"/>
      <c r="V107" s="76"/>
      <c r="W107" s="58"/>
      <c r="X107" s="58"/>
      <c r="Y107" s="58"/>
      <c r="AB107" s="59"/>
      <c r="AC107" s="61"/>
      <c r="AD107" s="61"/>
      <c r="AE107" s="62"/>
      <c r="AF107" s="61"/>
      <c r="AG107" s="61"/>
      <c r="AH107" s="75"/>
      <c r="AI107" s="76"/>
      <c r="AJ107" s="58"/>
      <c r="AK107" s="58"/>
      <c r="AL107" s="58"/>
      <c r="AO107" s="69"/>
      <c r="AP107" s="70"/>
      <c r="AQ107" s="85"/>
      <c r="AR107" s="70">
        <v>608</v>
      </c>
      <c r="AS107" s="70">
        <v>91.2</v>
      </c>
      <c r="AT107" s="70"/>
      <c r="AU107" s="72"/>
      <c r="AV107" s="73"/>
      <c r="AW107" s="94" t="s">
        <v>52</v>
      </c>
      <c r="AX107" s="95" t="s">
        <v>27</v>
      </c>
      <c r="AY107" s="95" t="s">
        <v>67</v>
      </c>
      <c r="BB107" s="96"/>
      <c r="BC107" s="97"/>
      <c r="BD107" s="98"/>
      <c r="BE107" s="99"/>
      <c r="BF107" s="98"/>
      <c r="BG107" s="98"/>
      <c r="BH107" s="72"/>
      <c r="BI107" s="73"/>
    </row>
    <row r="108" ht="18" customHeight="1" spans="2:64">
      <c r="B108" s="69"/>
      <c r="C108" s="70"/>
      <c r="D108" s="71"/>
      <c r="E108" s="70"/>
      <c r="F108" s="70"/>
      <c r="G108" s="70"/>
      <c r="H108" s="72"/>
      <c r="I108" s="73"/>
      <c r="J108" s="58"/>
      <c r="O108" s="69"/>
      <c r="P108" s="71"/>
      <c r="Q108" s="71"/>
      <c r="R108" s="70">
        <v>207</v>
      </c>
      <c r="S108" s="70">
        <v>20.7</v>
      </c>
      <c r="T108" s="70"/>
      <c r="U108" s="72"/>
      <c r="V108" s="73"/>
      <c r="W108" s="58"/>
      <c r="X108" s="58"/>
      <c r="Y108" s="58"/>
      <c r="AB108" s="69"/>
      <c r="AC108" s="70"/>
      <c r="AD108" s="71"/>
      <c r="AE108" s="70"/>
      <c r="AF108" s="70"/>
      <c r="AG108" s="70"/>
      <c r="AH108" s="72"/>
      <c r="AI108" s="73"/>
      <c r="AJ108" s="58"/>
      <c r="AK108" s="58"/>
      <c r="AL108" s="58"/>
      <c r="AO108" s="59"/>
      <c r="AP108" s="60"/>
      <c r="AQ108" s="61"/>
      <c r="AR108" s="62">
        <v>938</v>
      </c>
      <c r="AS108" s="61">
        <v>93.8</v>
      </c>
      <c r="AT108" s="61"/>
      <c r="AU108" s="75"/>
      <c r="AV108" s="84"/>
      <c r="AW108" s="77"/>
      <c r="AX108" s="77"/>
      <c r="AY108" s="87"/>
      <c r="BB108" s="102">
        <f t="shared" ref="BB108:BG108" si="20">SUM(BB88:BB107)</f>
        <v>313</v>
      </c>
      <c r="BC108" s="103">
        <f t="shared" si="20"/>
        <v>3430</v>
      </c>
      <c r="BD108" s="104">
        <f t="shared" si="20"/>
        <v>312</v>
      </c>
      <c r="BE108" s="105">
        <f t="shared" si="20"/>
        <v>475</v>
      </c>
      <c r="BF108" s="106">
        <f t="shared" si="20"/>
        <v>47.5</v>
      </c>
      <c r="BG108" s="107">
        <f t="shared" si="20"/>
        <v>547</v>
      </c>
      <c r="BH108" s="108" t="s">
        <v>54</v>
      </c>
      <c r="BI108" s="109"/>
    </row>
    <row r="109" spans="2:64">
      <c r="B109" s="59"/>
      <c r="C109" s="60"/>
      <c r="D109" s="61"/>
      <c r="E109" s="62"/>
      <c r="F109" s="61"/>
      <c r="G109" s="61"/>
      <c r="H109" s="75"/>
      <c r="I109" s="76"/>
      <c r="J109" s="58"/>
      <c r="O109" s="59"/>
      <c r="P109" s="61"/>
      <c r="Q109" s="61"/>
      <c r="R109" s="62">
        <v>170</v>
      </c>
      <c r="S109" s="61"/>
      <c r="T109" s="61"/>
      <c r="U109" s="75"/>
      <c r="V109" s="76"/>
      <c r="AB109" s="59"/>
      <c r="AC109" s="60"/>
      <c r="AD109" s="61"/>
      <c r="AE109" s="62"/>
      <c r="AF109" s="61"/>
      <c r="AG109" s="61"/>
      <c r="AH109" s="75"/>
      <c r="AI109" s="76"/>
      <c r="AO109" s="69"/>
      <c r="AP109" s="70"/>
      <c r="AQ109" s="85"/>
      <c r="AR109" s="70">
        <v>533</v>
      </c>
      <c r="AS109" s="70">
        <v>53.3</v>
      </c>
      <c r="AT109" s="70"/>
      <c r="AU109" s="72"/>
      <c r="AV109" s="73"/>
      <c r="AW109" s="58"/>
      <c r="AX109" s="58"/>
      <c r="AY109" s="58"/>
    </row>
    <row r="110" ht="15.75" spans="2:64">
      <c r="B110" s="69"/>
      <c r="C110" s="70"/>
      <c r="D110" s="71"/>
      <c r="E110" s="70"/>
      <c r="F110" s="70"/>
      <c r="G110" s="70"/>
      <c r="H110" s="72"/>
      <c r="I110" s="73"/>
      <c r="J110" s="58"/>
      <c r="O110" s="69"/>
      <c r="P110" s="71"/>
      <c r="Q110" s="71"/>
      <c r="R110" s="70">
        <v>470</v>
      </c>
      <c r="S110" s="70">
        <v>70.5</v>
      </c>
      <c r="T110" s="70"/>
      <c r="U110" s="72"/>
      <c r="V110" s="73"/>
      <c r="AB110" s="69"/>
      <c r="AC110" s="70"/>
      <c r="AD110" s="71"/>
      <c r="AE110" s="70"/>
      <c r="AF110" s="70"/>
      <c r="AG110" s="70"/>
      <c r="AH110" s="72"/>
      <c r="AI110" s="73"/>
      <c r="AO110" s="59"/>
      <c r="AP110" s="60"/>
      <c r="AQ110" s="61"/>
      <c r="AR110" s="62">
        <v>686</v>
      </c>
      <c r="AS110" s="61">
        <v>102.9</v>
      </c>
      <c r="AT110" s="61"/>
      <c r="AU110" s="75"/>
      <c r="AV110" s="84"/>
      <c r="AW110" s="58"/>
      <c r="AX110" s="58"/>
      <c r="AY110" s="58"/>
    </row>
    <row r="111" ht="15.75" spans="2:64">
      <c r="B111" s="59"/>
      <c r="C111" s="60"/>
      <c r="D111" s="61"/>
      <c r="E111" s="62"/>
      <c r="F111" s="61"/>
      <c r="G111" s="61"/>
      <c r="H111" s="75"/>
      <c r="I111" s="76"/>
      <c r="J111" s="58"/>
      <c r="O111" s="59"/>
      <c r="P111" s="61"/>
      <c r="Q111" s="61"/>
      <c r="R111" s="62"/>
      <c r="S111" s="61"/>
      <c r="T111" s="61"/>
      <c r="U111" s="75"/>
      <c r="V111" s="76"/>
      <c r="AB111" s="59"/>
      <c r="AC111" s="60"/>
      <c r="AD111" s="61"/>
      <c r="AE111" s="62"/>
      <c r="AF111" s="61"/>
      <c r="AG111" s="61"/>
      <c r="AH111" s="75"/>
      <c r="AI111" s="76"/>
      <c r="AO111" s="69"/>
      <c r="AP111" s="70"/>
      <c r="AQ111" s="85"/>
      <c r="AR111" s="70">
        <v>613</v>
      </c>
      <c r="AS111" s="70">
        <v>61.3</v>
      </c>
      <c r="AT111" s="70"/>
      <c r="AU111" s="72"/>
      <c r="AV111" s="73"/>
      <c r="AW111" s="58"/>
      <c r="AX111" s="58"/>
      <c r="AY111" s="58"/>
      <c r="BB111" s="33" t="s">
        <v>102</v>
      </c>
      <c r="BC111" s="34"/>
      <c r="BD111" s="34"/>
      <c r="BE111" s="34"/>
      <c r="BF111" s="34"/>
      <c r="BG111" s="34"/>
      <c r="BH111" s="34"/>
      <c r="BI111" s="34"/>
      <c r="BJ111" s="34"/>
      <c r="BK111" s="34"/>
      <c r="BL111" s="35"/>
    </row>
    <row r="112" ht="15.75" spans="2:64">
      <c r="B112" s="69"/>
      <c r="C112" s="70"/>
      <c r="D112" s="71"/>
      <c r="E112" s="70"/>
      <c r="F112" s="70"/>
      <c r="G112" s="70"/>
      <c r="H112" s="72"/>
      <c r="I112" s="73"/>
      <c r="J112" s="58"/>
      <c r="O112" s="102">
        <f t="shared" ref="O112:T112" si="21">SUM(O91:O111)</f>
        <v>4840</v>
      </c>
      <c r="P112" s="103">
        <f t="shared" si="21"/>
        <v>3307</v>
      </c>
      <c r="Q112" s="104">
        <f t="shared" si="21"/>
        <v>357</v>
      </c>
      <c r="R112" s="105">
        <f t="shared" si="21"/>
        <v>3283</v>
      </c>
      <c r="S112" s="106">
        <f t="shared" si="21"/>
        <v>203.75</v>
      </c>
      <c r="T112" s="107">
        <f t="shared" si="21"/>
        <v>4509</v>
      </c>
      <c r="U112" s="108" t="s">
        <v>54</v>
      </c>
      <c r="V112" s="109"/>
      <c r="AB112" s="102">
        <f t="shared" ref="AB112:AG112" si="22">SUM(AB91:AB111)</f>
        <v>874</v>
      </c>
      <c r="AC112" s="103">
        <f t="shared" si="22"/>
        <v>2106</v>
      </c>
      <c r="AD112" s="104">
        <f t="shared" si="22"/>
        <v>150</v>
      </c>
      <c r="AE112" s="105">
        <f t="shared" si="22"/>
        <v>2722</v>
      </c>
      <c r="AF112" s="106">
        <f t="shared" si="22"/>
        <v>266.95</v>
      </c>
      <c r="AG112" s="107">
        <f t="shared" si="22"/>
        <v>0</v>
      </c>
      <c r="AH112" s="108" t="s">
        <v>54</v>
      </c>
      <c r="AI112" s="109"/>
      <c r="AO112" s="59"/>
      <c r="AP112" s="60">
        <v>417</v>
      </c>
      <c r="AQ112" s="61">
        <v>33</v>
      </c>
      <c r="AR112" s="62"/>
      <c r="AS112" s="61"/>
      <c r="AT112" s="61"/>
      <c r="AU112" s="75"/>
      <c r="AV112" s="84"/>
      <c r="AW112" s="58"/>
      <c r="AX112" s="58"/>
      <c r="AY112" s="58"/>
      <c r="BB112" s="36"/>
      <c r="BC112" s="37"/>
      <c r="BD112" s="37"/>
      <c r="BE112" s="37"/>
      <c r="BF112" s="37"/>
      <c r="BG112" s="37"/>
      <c r="BH112" s="37"/>
      <c r="BI112" s="37"/>
      <c r="BJ112" s="37"/>
      <c r="BK112" s="37"/>
      <c r="BL112" s="38"/>
    </row>
    <row r="113" ht="15.75" spans="2:64">
      <c r="B113" s="59"/>
      <c r="C113" s="60"/>
      <c r="D113" s="61"/>
      <c r="E113" s="62"/>
      <c r="F113" s="61"/>
      <c r="G113" s="61"/>
      <c r="H113" s="75"/>
      <c r="I113" s="76"/>
      <c r="J113" s="58"/>
      <c r="AO113" s="69"/>
      <c r="AP113" s="70">
        <v>502</v>
      </c>
      <c r="AQ113" s="85">
        <v>18</v>
      </c>
      <c r="AR113" s="70"/>
      <c r="AS113" s="70"/>
      <c r="AT113" s="70"/>
      <c r="AU113" s="72"/>
      <c r="AV113" s="73"/>
      <c r="AW113" s="58"/>
      <c r="AX113" s="58"/>
      <c r="AY113" s="58"/>
      <c r="BB113" s="39" t="s">
        <v>12</v>
      </c>
      <c r="BC113" s="40" t="s">
        <v>13</v>
      </c>
      <c r="BD113" s="41"/>
      <c r="BE113" s="42" t="s">
        <v>14</v>
      </c>
      <c r="BF113" s="43"/>
      <c r="BG113" s="44" t="s">
        <v>15</v>
      </c>
      <c r="BH113" s="45"/>
      <c r="BI113" s="46"/>
      <c r="BJ113" s="47" t="s">
        <v>16</v>
      </c>
      <c r="BK113" s="48"/>
      <c r="BL113" s="49">
        <f>BC132+BE132</f>
        <v>5882</v>
      </c>
    </row>
    <row r="114" ht="15.75" spans="2:64">
      <c r="B114" s="69"/>
      <c r="C114" s="112"/>
      <c r="D114" s="71"/>
      <c r="E114" s="58"/>
      <c r="F114" s="70"/>
      <c r="G114" s="70"/>
      <c r="H114" s="72"/>
      <c r="I114" s="73"/>
      <c r="J114" s="58"/>
      <c r="AO114" s="59"/>
      <c r="AP114" s="60"/>
      <c r="AQ114" s="61"/>
      <c r="AR114" s="62">
        <v>498</v>
      </c>
      <c r="AS114" s="61">
        <v>49.8</v>
      </c>
      <c r="AT114" s="61"/>
      <c r="AU114" s="75"/>
      <c r="AV114" s="84"/>
      <c r="AW114" s="58"/>
      <c r="AX114" s="58"/>
      <c r="AY114" s="58"/>
      <c r="BB114" s="50"/>
      <c r="BC114" s="51" t="s">
        <v>17</v>
      </c>
      <c r="BD114" s="51" t="s">
        <v>18</v>
      </c>
      <c r="BE114" s="52" t="s">
        <v>17</v>
      </c>
      <c r="BF114" s="52" t="s">
        <v>18</v>
      </c>
      <c r="BG114" s="53"/>
      <c r="BH114" s="54"/>
      <c r="BI114" s="55"/>
      <c r="BJ114" s="56" t="s">
        <v>19</v>
      </c>
      <c r="BK114" s="57"/>
      <c r="BL114" s="49">
        <f>BD132+BF132</f>
        <v>699</v>
      </c>
    </row>
    <row r="115" ht="15.75" spans="2:64">
      <c r="B115" s="59"/>
      <c r="C115" s="60"/>
      <c r="D115" s="61"/>
      <c r="E115" s="116"/>
      <c r="F115" s="61"/>
      <c r="G115" s="61"/>
      <c r="H115" s="75"/>
      <c r="I115" s="76"/>
      <c r="J115" s="58"/>
      <c r="O115" s="33" t="s">
        <v>103</v>
      </c>
      <c r="P115" s="34"/>
      <c r="Q115" s="34"/>
      <c r="R115" s="34"/>
      <c r="S115" s="34"/>
      <c r="T115" s="34"/>
      <c r="U115" s="34"/>
      <c r="V115" s="34"/>
      <c r="W115" s="34"/>
      <c r="X115" s="34"/>
      <c r="Y115" s="35"/>
      <c r="AB115" s="33" t="s">
        <v>104</v>
      </c>
      <c r="AC115" s="34"/>
      <c r="AD115" s="34"/>
      <c r="AE115" s="34"/>
      <c r="AF115" s="34"/>
      <c r="AG115" s="34"/>
      <c r="AH115" s="34"/>
      <c r="AI115" s="34"/>
      <c r="AJ115" s="34"/>
      <c r="AK115" s="34"/>
      <c r="AL115" s="35"/>
      <c r="AO115" s="69"/>
      <c r="AP115" s="70"/>
      <c r="AQ115" s="85"/>
      <c r="AR115" s="70">
        <v>361</v>
      </c>
      <c r="AS115" s="70">
        <v>72.2</v>
      </c>
      <c r="AT115" s="70"/>
      <c r="AU115" s="72"/>
      <c r="AV115" s="73"/>
      <c r="AW115" s="58"/>
      <c r="BB115" s="59">
        <v>414</v>
      </c>
      <c r="BC115" s="68">
        <v>289</v>
      </c>
      <c r="BD115" s="61"/>
      <c r="BE115" s="62"/>
      <c r="BF115" s="61"/>
      <c r="BG115" s="61">
        <v>140</v>
      </c>
      <c r="BH115" s="63" t="s">
        <v>63</v>
      </c>
      <c r="BI115" s="64"/>
      <c r="BJ115" s="65" t="s">
        <v>21</v>
      </c>
      <c r="BK115" s="66"/>
      <c r="BL115" s="67">
        <f>BG132</f>
        <v>216</v>
      </c>
    </row>
    <row r="116" ht="15.75" spans="2:64">
      <c r="B116" s="69"/>
      <c r="C116" s="112"/>
      <c r="D116" s="71"/>
      <c r="E116" s="58"/>
      <c r="F116" s="70"/>
      <c r="G116" s="70"/>
      <c r="H116" s="72"/>
      <c r="I116" s="73"/>
      <c r="J116" s="58"/>
      <c r="O116" s="36"/>
      <c r="P116" s="37"/>
      <c r="Q116" s="37"/>
      <c r="R116" s="37"/>
      <c r="S116" s="37"/>
      <c r="T116" s="37"/>
      <c r="U116" s="37"/>
      <c r="V116" s="37"/>
      <c r="W116" s="37"/>
      <c r="X116" s="37"/>
      <c r="Y116" s="38"/>
      <c r="AB116" s="36"/>
      <c r="AC116" s="37"/>
      <c r="AD116" s="37"/>
      <c r="AE116" s="37"/>
      <c r="AF116" s="37"/>
      <c r="AG116" s="37"/>
      <c r="AH116" s="37"/>
      <c r="AI116" s="37"/>
      <c r="AJ116" s="37"/>
      <c r="AK116" s="37"/>
      <c r="AL116" s="38"/>
      <c r="AO116" s="59"/>
      <c r="AP116" s="60">
        <v>50</v>
      </c>
      <c r="AQ116" s="61"/>
      <c r="AR116" s="62"/>
      <c r="AS116" s="61"/>
      <c r="AT116" s="61"/>
      <c r="AU116" s="75"/>
      <c r="AV116" s="84"/>
      <c r="AW116" s="58"/>
      <c r="BB116" s="69"/>
      <c r="BC116" s="70">
        <v>97</v>
      </c>
      <c r="BD116" s="71">
        <v>5</v>
      </c>
      <c r="BE116" s="70"/>
      <c r="BF116" s="70"/>
      <c r="BG116" s="70">
        <v>46</v>
      </c>
      <c r="BH116" s="72" t="s">
        <v>57</v>
      </c>
      <c r="BI116" s="73"/>
      <c r="BJ116" s="74" t="s">
        <v>26</v>
      </c>
      <c r="BK116" s="57"/>
      <c r="BL116" s="49">
        <f>BB132+BL113+BL114-BL115-BE132-BF132</f>
        <v>4565</v>
      </c>
    </row>
    <row r="117" ht="15.75" spans="2:64">
      <c r="B117" s="59"/>
      <c r="C117" s="60"/>
      <c r="D117" s="61"/>
      <c r="E117" s="62"/>
      <c r="F117" s="61"/>
      <c r="G117" s="61"/>
      <c r="H117" s="75"/>
      <c r="I117" s="76"/>
      <c r="J117" s="58"/>
      <c r="O117" s="39" t="s">
        <v>12</v>
      </c>
      <c r="P117" s="40" t="s">
        <v>13</v>
      </c>
      <c r="Q117" s="41"/>
      <c r="R117" s="42" t="s">
        <v>14</v>
      </c>
      <c r="S117" s="43"/>
      <c r="T117" s="44" t="s">
        <v>15</v>
      </c>
      <c r="U117" s="45"/>
      <c r="V117" s="46"/>
      <c r="W117" s="47" t="s">
        <v>16</v>
      </c>
      <c r="X117" s="48"/>
      <c r="Y117" s="49">
        <f>P141+R141</f>
        <v>3771</v>
      </c>
      <c r="AB117" s="39" t="s">
        <v>12</v>
      </c>
      <c r="AC117" s="40" t="s">
        <v>13</v>
      </c>
      <c r="AD117" s="41"/>
      <c r="AE117" s="42" t="s">
        <v>14</v>
      </c>
      <c r="AF117" s="43"/>
      <c r="AG117" s="44" t="s">
        <v>15</v>
      </c>
      <c r="AH117" s="45"/>
      <c r="AI117" s="46"/>
      <c r="AJ117" s="47" t="s">
        <v>16</v>
      </c>
      <c r="AK117" s="48"/>
      <c r="AL117" s="49">
        <f>AC136+AE136</f>
        <v>3827</v>
      </c>
      <c r="AO117" s="69"/>
      <c r="AP117" s="70">
        <v>460</v>
      </c>
      <c r="AQ117" s="85">
        <v>45</v>
      </c>
      <c r="AR117" s="70"/>
      <c r="AS117" s="70"/>
      <c r="AT117" s="70"/>
      <c r="AU117" s="72"/>
      <c r="AV117" s="73"/>
      <c r="AW117" s="58"/>
      <c r="BB117" s="59"/>
      <c r="BC117" s="60">
        <v>883</v>
      </c>
      <c r="BD117" s="61">
        <v>137</v>
      </c>
      <c r="BE117" s="62"/>
      <c r="BF117" s="61"/>
      <c r="BG117" s="61">
        <v>30</v>
      </c>
      <c r="BH117" s="75" t="s">
        <v>29</v>
      </c>
      <c r="BI117" s="76"/>
      <c r="BJ117" s="77"/>
      <c r="BK117" s="78" t="s">
        <v>30</v>
      </c>
      <c r="BL117" s="79">
        <f>BL114/4</f>
        <v>174.75</v>
      </c>
    </row>
    <row r="118" ht="15.75" spans="2:64">
      <c r="B118" s="69"/>
      <c r="C118" s="112"/>
      <c r="D118" s="71"/>
      <c r="E118" s="58"/>
      <c r="F118" s="70"/>
      <c r="G118" s="70"/>
      <c r="H118" s="72"/>
      <c r="I118" s="73"/>
      <c r="O118" s="50"/>
      <c r="P118" s="51" t="s">
        <v>17</v>
      </c>
      <c r="Q118" s="51" t="s">
        <v>18</v>
      </c>
      <c r="R118" s="52" t="s">
        <v>17</v>
      </c>
      <c r="S118" s="52" t="s">
        <v>18</v>
      </c>
      <c r="T118" s="53"/>
      <c r="U118" s="54"/>
      <c r="V118" s="55"/>
      <c r="W118" s="56" t="s">
        <v>19</v>
      </c>
      <c r="X118" s="57"/>
      <c r="Y118" s="49">
        <f>Q141+S141</f>
        <v>295.6</v>
      </c>
      <c r="AB118" s="50"/>
      <c r="AC118" s="51" t="s">
        <v>17</v>
      </c>
      <c r="AD118" s="51" t="s">
        <v>18</v>
      </c>
      <c r="AE118" s="52" t="s">
        <v>17</v>
      </c>
      <c r="AF118" s="52" t="s">
        <v>18</v>
      </c>
      <c r="AG118" s="53"/>
      <c r="AH118" s="54"/>
      <c r="AI118" s="55"/>
      <c r="AJ118" s="56" t="s">
        <v>19</v>
      </c>
      <c r="AK118" s="57"/>
      <c r="AL118" s="49">
        <f>AD136+AF136</f>
        <v>400.75</v>
      </c>
      <c r="AO118" s="59"/>
      <c r="AP118" s="60"/>
      <c r="AQ118" s="61"/>
      <c r="AR118" s="62"/>
      <c r="AS118" s="61"/>
      <c r="AT118" s="61"/>
      <c r="AU118" s="75"/>
      <c r="AV118" s="84"/>
      <c r="AW118" s="58"/>
      <c r="BB118" s="69"/>
      <c r="BC118" s="70"/>
      <c r="BD118" s="71"/>
      <c r="BE118" s="70">
        <v>127</v>
      </c>
      <c r="BF118" s="70"/>
      <c r="BG118" s="70"/>
      <c r="BH118" s="72"/>
      <c r="BI118" s="73"/>
      <c r="BJ118" s="77"/>
      <c r="BK118" s="80" t="s">
        <v>34</v>
      </c>
      <c r="BL118" s="81">
        <f>BL114/6</f>
        <v>116.5</v>
      </c>
    </row>
    <row r="119" ht="15.75" spans="2:64">
      <c r="B119" s="59"/>
      <c r="C119" s="60"/>
      <c r="D119" s="61"/>
      <c r="E119" s="62"/>
      <c r="F119" s="61"/>
      <c r="G119" s="61"/>
      <c r="H119" s="75"/>
      <c r="I119" s="76"/>
      <c r="O119" s="59">
        <v>795</v>
      </c>
      <c r="P119" s="60">
        <v>465</v>
      </c>
      <c r="Q119" s="61"/>
      <c r="R119" s="62"/>
      <c r="S119" s="61"/>
      <c r="T119" s="61">
        <v>36</v>
      </c>
      <c r="U119" s="63" t="s">
        <v>36</v>
      </c>
      <c r="V119" s="64"/>
      <c r="W119" s="65" t="s">
        <v>21</v>
      </c>
      <c r="X119" s="66"/>
      <c r="Y119" s="67">
        <f>T141</f>
        <v>66</v>
      </c>
      <c r="AB119" s="59">
        <v>1991</v>
      </c>
      <c r="AC119" s="60">
        <v>137</v>
      </c>
      <c r="AD119" s="61"/>
      <c r="AE119" s="62"/>
      <c r="AF119" s="61"/>
      <c r="AG119" s="61">
        <v>30</v>
      </c>
      <c r="AH119" s="63" t="s">
        <v>29</v>
      </c>
      <c r="AI119" s="64"/>
      <c r="AJ119" s="65" t="s">
        <v>21</v>
      </c>
      <c r="AK119" s="66"/>
      <c r="AL119" s="67">
        <f>AG136</f>
        <v>2030</v>
      </c>
      <c r="AO119" s="69"/>
      <c r="AP119" s="112"/>
      <c r="AQ119" s="71"/>
      <c r="AR119" s="58"/>
      <c r="AS119" s="70"/>
      <c r="AT119" s="70"/>
      <c r="AU119" s="72"/>
      <c r="AV119" s="73"/>
      <c r="AW119" s="58"/>
      <c r="BB119" s="59"/>
      <c r="BC119" s="60">
        <v>50</v>
      </c>
      <c r="BD119" s="61"/>
      <c r="BE119" s="62"/>
      <c r="BF119" s="61"/>
      <c r="BG119" s="61"/>
      <c r="BH119" s="75"/>
      <c r="BI119" s="84"/>
      <c r="BJ119" s="77"/>
      <c r="BK119" s="82" t="s">
        <v>37</v>
      </c>
      <c r="BL119" s="83">
        <f>BL114/8</f>
        <v>87.375</v>
      </c>
    </row>
    <row r="120" ht="15.75" spans="2:64">
      <c r="B120" s="96"/>
      <c r="C120" s="97"/>
      <c r="D120" s="98"/>
      <c r="E120" s="99"/>
      <c r="F120" s="98"/>
      <c r="G120" s="98"/>
      <c r="H120" s="72"/>
      <c r="I120" s="73"/>
      <c r="O120" s="69"/>
      <c r="P120" s="70">
        <v>280</v>
      </c>
      <c r="Q120" s="71">
        <v>30</v>
      </c>
      <c r="R120" s="70"/>
      <c r="S120" s="70"/>
      <c r="T120" s="70">
        <v>30</v>
      </c>
      <c r="U120" s="72" t="s">
        <v>29</v>
      </c>
      <c r="V120" s="73"/>
      <c r="W120" s="74" t="s">
        <v>26</v>
      </c>
      <c r="X120" s="57"/>
      <c r="Y120" s="49">
        <f>O141+Y117+Y118-Y119-R141-S141</f>
        <v>3474</v>
      </c>
      <c r="AB120" s="69"/>
      <c r="AC120" s="70">
        <v>65</v>
      </c>
      <c r="AD120" s="71"/>
      <c r="AE120" s="70"/>
      <c r="AF120" s="70"/>
      <c r="AG120" s="70">
        <v>2000</v>
      </c>
      <c r="AH120" s="72" t="s">
        <v>105</v>
      </c>
      <c r="AI120" s="73"/>
      <c r="AJ120" s="74" t="s">
        <v>26</v>
      </c>
      <c r="AK120" s="57"/>
      <c r="AL120" s="49">
        <f>AB136+AL117+AL118-AL119-AE136-AF136</f>
        <v>3473</v>
      </c>
      <c r="AO120" s="59"/>
      <c r="AP120" s="60"/>
      <c r="AQ120" s="61"/>
      <c r="AR120" s="62"/>
      <c r="AS120" s="61"/>
      <c r="AT120" s="61"/>
      <c r="AU120" s="75"/>
      <c r="AV120" s="76"/>
      <c r="BB120" s="69"/>
      <c r="BC120" s="70"/>
      <c r="BD120" s="85"/>
      <c r="BE120" s="70">
        <v>455</v>
      </c>
      <c r="BF120" s="70">
        <v>45</v>
      </c>
      <c r="BG120" s="70"/>
      <c r="BH120" s="72"/>
      <c r="BI120" s="73"/>
      <c r="BJ120" s="86"/>
      <c r="BK120" s="77"/>
      <c r="BL120" s="87"/>
    </row>
    <row r="121" spans="2:64">
      <c r="B121" s="59"/>
      <c r="C121" s="60"/>
      <c r="D121" s="61"/>
      <c r="E121" s="62"/>
      <c r="F121" s="61"/>
      <c r="G121" s="61"/>
      <c r="H121" s="75"/>
      <c r="I121" s="76"/>
      <c r="O121" s="59"/>
      <c r="P121" s="60">
        <v>220</v>
      </c>
      <c r="Q121" s="61">
        <v>22</v>
      </c>
      <c r="R121" s="62"/>
      <c r="S121" s="61"/>
      <c r="T121" s="61"/>
      <c r="U121" s="75"/>
      <c r="V121" s="76"/>
      <c r="W121" s="77"/>
      <c r="X121" s="78" t="s">
        <v>30</v>
      </c>
      <c r="Y121" s="79">
        <f>Y118/4</f>
        <v>73.9</v>
      </c>
      <c r="AB121" s="59"/>
      <c r="AC121" s="60"/>
      <c r="AD121" s="61"/>
      <c r="AE121" s="62">
        <v>445</v>
      </c>
      <c r="AF121" s="61">
        <v>66.75</v>
      </c>
      <c r="AG121" s="61"/>
      <c r="AH121" s="75"/>
      <c r="AI121" s="76"/>
      <c r="AJ121" s="77"/>
      <c r="AK121" s="78" t="s">
        <v>30</v>
      </c>
      <c r="AL121" s="79">
        <f>AL118/4</f>
        <v>100.1875</v>
      </c>
      <c r="AO121" s="96"/>
      <c r="AP121" s="97"/>
      <c r="AQ121" s="98"/>
      <c r="AR121" s="99"/>
      <c r="AS121" s="98"/>
      <c r="AT121" s="98"/>
      <c r="AU121" s="72"/>
      <c r="AV121" s="73"/>
      <c r="BB121" s="59"/>
      <c r="BC121" s="60">
        <v>25</v>
      </c>
      <c r="BD121" s="61"/>
      <c r="BE121" s="62"/>
      <c r="BF121" s="61"/>
      <c r="BG121" s="61"/>
      <c r="BH121" s="75"/>
      <c r="BI121" s="84"/>
      <c r="BJ121" s="77"/>
      <c r="BK121" s="58"/>
      <c r="BL121" s="58"/>
    </row>
    <row r="122" spans="2:64">
      <c r="B122" s="96"/>
      <c r="C122" s="97"/>
      <c r="D122" s="98"/>
      <c r="E122" s="99"/>
      <c r="F122" s="98"/>
      <c r="G122" s="98"/>
      <c r="H122" s="114"/>
      <c r="I122" s="115"/>
      <c r="O122" s="69"/>
      <c r="P122" s="70">
        <v>397</v>
      </c>
      <c r="Q122" s="71">
        <v>50</v>
      </c>
      <c r="R122" s="70"/>
      <c r="S122" s="70"/>
      <c r="T122" s="70"/>
      <c r="U122" s="72"/>
      <c r="V122" s="73"/>
      <c r="W122" s="77"/>
      <c r="X122" s="80" t="s">
        <v>34</v>
      </c>
      <c r="Y122" s="81">
        <f>Y118/6</f>
        <v>49.2666666666667</v>
      </c>
      <c r="AB122" s="69"/>
      <c r="AC122" s="70">
        <v>460</v>
      </c>
      <c r="AD122" s="71">
        <v>50</v>
      </c>
      <c r="AE122" s="70"/>
      <c r="AF122" s="70"/>
      <c r="AG122" s="70"/>
      <c r="AH122" s="72"/>
      <c r="AI122" s="73"/>
      <c r="AJ122" s="77"/>
      <c r="AK122" s="80" t="s">
        <v>34</v>
      </c>
      <c r="AL122" s="81">
        <f>AL118/6</f>
        <v>66.7916666666667</v>
      </c>
      <c r="AO122" s="59"/>
      <c r="AP122" s="60"/>
      <c r="AQ122" s="61"/>
      <c r="AR122" s="62"/>
      <c r="AS122" s="61"/>
      <c r="AT122" s="61"/>
      <c r="AU122" s="75"/>
      <c r="AV122" s="76"/>
      <c r="BB122" s="69"/>
      <c r="BC122" s="70"/>
      <c r="BD122" s="85"/>
      <c r="BE122" s="70">
        <v>440</v>
      </c>
      <c r="BF122" s="70">
        <v>22</v>
      </c>
      <c r="BG122" s="70"/>
      <c r="BH122" s="72"/>
      <c r="BI122" s="73"/>
      <c r="BJ122" s="77"/>
      <c r="BK122" s="58"/>
      <c r="BL122" s="58"/>
    </row>
    <row r="123" ht="15.75" spans="2:64">
      <c r="B123" s="59"/>
      <c r="C123" s="60"/>
      <c r="D123" s="61"/>
      <c r="E123" s="62"/>
      <c r="F123" s="61"/>
      <c r="G123" s="61"/>
      <c r="H123" s="75"/>
      <c r="I123" s="76"/>
      <c r="O123" s="59"/>
      <c r="P123" s="60"/>
      <c r="Q123" s="61"/>
      <c r="R123" s="62">
        <v>450</v>
      </c>
      <c r="S123" s="61">
        <v>45</v>
      </c>
      <c r="T123" s="61"/>
      <c r="U123" s="75"/>
      <c r="V123" s="76"/>
      <c r="W123" s="77"/>
      <c r="X123" s="82" t="s">
        <v>37</v>
      </c>
      <c r="Y123" s="83">
        <f>Y118/8</f>
        <v>36.95</v>
      </c>
      <c r="AB123" s="59"/>
      <c r="AC123" s="60">
        <v>925</v>
      </c>
      <c r="AD123" s="61">
        <v>75</v>
      </c>
      <c r="AE123" s="62"/>
      <c r="AF123" s="61"/>
      <c r="AG123" s="61"/>
      <c r="AH123" s="75"/>
      <c r="AI123" s="76"/>
      <c r="AJ123" s="77"/>
      <c r="AK123" s="82" t="s">
        <v>37</v>
      </c>
      <c r="AL123" s="83">
        <f>AL118/8</f>
        <v>50.09375</v>
      </c>
      <c r="AO123" s="96"/>
      <c r="AP123" s="97"/>
      <c r="AQ123" s="98"/>
      <c r="AR123" s="99"/>
      <c r="AS123" s="98"/>
      <c r="AT123" s="98"/>
      <c r="AU123" s="72"/>
      <c r="AV123" s="73"/>
      <c r="BB123" s="59"/>
      <c r="BC123" s="60">
        <v>568</v>
      </c>
      <c r="BD123" s="61">
        <v>32</v>
      </c>
      <c r="BE123" s="62"/>
      <c r="BF123" s="61"/>
      <c r="BG123" s="61"/>
      <c r="BH123" s="75"/>
      <c r="BI123" s="84"/>
      <c r="BJ123" s="77"/>
      <c r="BK123" s="58"/>
      <c r="BL123" s="58"/>
    </row>
    <row r="124" ht="15.75" spans="2:64">
      <c r="B124" s="69"/>
      <c r="C124" s="112"/>
      <c r="D124" s="71"/>
      <c r="E124" s="58"/>
      <c r="F124" s="70"/>
      <c r="G124" s="70"/>
      <c r="H124" s="72"/>
      <c r="I124" s="73"/>
      <c r="O124" s="69"/>
      <c r="P124" s="70"/>
      <c r="Q124" s="85"/>
      <c r="R124" s="70">
        <v>75</v>
      </c>
      <c r="S124" s="70"/>
      <c r="T124" s="70"/>
      <c r="U124" s="72"/>
      <c r="V124" s="73"/>
      <c r="W124" s="86"/>
      <c r="X124" s="77"/>
      <c r="Y124" s="87"/>
      <c r="AB124" s="69"/>
      <c r="AC124" s="70"/>
      <c r="AD124" s="85"/>
      <c r="AE124" s="70">
        <v>204</v>
      </c>
      <c r="AF124" s="70"/>
      <c r="AG124" s="70"/>
      <c r="AH124" s="72"/>
      <c r="AI124" s="73"/>
      <c r="AJ124" s="86"/>
      <c r="AK124" s="77"/>
      <c r="AL124" s="87"/>
      <c r="AO124" s="102">
        <f t="shared" ref="AO124:AT124" si="23">SUM(AO96:AO123)</f>
        <v>748</v>
      </c>
      <c r="AP124" s="103">
        <f t="shared" si="23"/>
        <v>3834</v>
      </c>
      <c r="AQ124" s="104">
        <f t="shared" si="23"/>
        <v>408</v>
      </c>
      <c r="AR124" s="105">
        <f t="shared" si="23"/>
        <v>6077</v>
      </c>
      <c r="AS124" s="106">
        <f t="shared" si="23"/>
        <v>630.6</v>
      </c>
      <c r="AT124" s="107">
        <f t="shared" si="23"/>
        <v>424.5</v>
      </c>
      <c r="AU124" s="108" t="s">
        <v>54</v>
      </c>
      <c r="AV124" s="109"/>
      <c r="BB124" s="69"/>
      <c r="BC124" s="70">
        <v>494</v>
      </c>
      <c r="BD124" s="85">
        <v>106</v>
      </c>
      <c r="BE124" s="70"/>
      <c r="BF124" s="70"/>
      <c r="BG124" s="70"/>
      <c r="BH124" s="72"/>
      <c r="BI124" s="73"/>
      <c r="BJ124" s="89" t="s">
        <v>44</v>
      </c>
      <c r="BK124" s="90" t="s">
        <v>45</v>
      </c>
      <c r="BL124" s="90" t="s">
        <v>46</v>
      </c>
    </row>
    <row r="125" spans="2:64">
      <c r="B125" s="59"/>
      <c r="C125" s="60"/>
      <c r="D125" s="61"/>
      <c r="E125" s="62"/>
      <c r="F125" s="61"/>
      <c r="G125" s="61"/>
      <c r="H125" s="75"/>
      <c r="I125" s="76"/>
      <c r="O125" s="59"/>
      <c r="P125" s="60"/>
      <c r="Q125" s="61"/>
      <c r="R125" s="62">
        <v>173</v>
      </c>
      <c r="S125" s="61"/>
      <c r="T125" s="61"/>
      <c r="U125" s="75"/>
      <c r="V125" s="76"/>
      <c r="W125" s="77"/>
      <c r="X125" s="58"/>
      <c r="Y125" s="58"/>
      <c r="AB125" s="59"/>
      <c r="AC125" s="60">
        <v>218</v>
      </c>
      <c r="AD125" s="61">
        <v>32</v>
      </c>
      <c r="AE125" s="62"/>
      <c r="AF125" s="61"/>
      <c r="AG125" s="61"/>
      <c r="AH125" s="75"/>
      <c r="AI125" s="76"/>
      <c r="AJ125" s="77"/>
      <c r="AK125" s="58"/>
      <c r="AL125" s="58"/>
      <c r="BB125" s="59"/>
      <c r="BC125" s="60"/>
      <c r="BD125" s="61"/>
      <c r="BE125" s="62">
        <v>720</v>
      </c>
      <c r="BF125" s="61">
        <v>72</v>
      </c>
      <c r="BG125" s="61"/>
      <c r="BH125" s="75"/>
      <c r="BI125" s="84"/>
      <c r="BJ125" s="92" t="s">
        <v>47</v>
      </c>
      <c r="BK125" s="93" t="s">
        <v>27</v>
      </c>
      <c r="BL125" s="93" t="s">
        <v>66</v>
      </c>
    </row>
    <row r="126" ht="15.75" spans="2:64">
      <c r="B126" s="96"/>
      <c r="C126" s="97"/>
      <c r="D126" s="98"/>
      <c r="E126" s="99"/>
      <c r="F126" s="98"/>
      <c r="G126" s="98"/>
      <c r="H126" s="72"/>
      <c r="I126" s="73"/>
      <c r="O126" s="69"/>
      <c r="P126" s="70">
        <v>466</v>
      </c>
      <c r="Q126" s="71">
        <v>44</v>
      </c>
      <c r="R126" s="70"/>
      <c r="S126" s="70"/>
      <c r="T126" s="70"/>
      <c r="U126" s="72"/>
      <c r="V126" s="73"/>
      <c r="W126" s="77"/>
      <c r="X126" s="58"/>
      <c r="Y126" s="58"/>
      <c r="AB126" s="69"/>
      <c r="AC126" s="70">
        <v>395</v>
      </c>
      <c r="AD126" s="71">
        <v>45</v>
      </c>
      <c r="AE126" s="70"/>
      <c r="AF126" s="70"/>
      <c r="AG126" s="70"/>
      <c r="AH126" s="72"/>
      <c r="AI126" s="73"/>
      <c r="AJ126" s="77"/>
      <c r="AK126" s="58"/>
      <c r="AL126" s="58"/>
      <c r="BB126" s="69"/>
      <c r="BC126" s="70">
        <v>181</v>
      </c>
      <c r="BD126" s="85"/>
      <c r="BE126" s="70"/>
      <c r="BF126" s="70"/>
      <c r="BG126" s="70"/>
      <c r="BH126" s="72"/>
      <c r="BI126" s="73"/>
      <c r="BJ126" s="94" t="s">
        <v>52</v>
      </c>
      <c r="BK126" s="95" t="s">
        <v>48</v>
      </c>
      <c r="BL126" s="95" t="s">
        <v>65</v>
      </c>
    </row>
    <row r="127" spans="2:64">
      <c r="B127" s="59"/>
      <c r="C127" s="60"/>
      <c r="D127" s="61"/>
      <c r="E127" s="62"/>
      <c r="F127" s="61"/>
      <c r="G127" s="61"/>
      <c r="H127" s="75"/>
      <c r="I127" s="76"/>
      <c r="O127" s="59"/>
      <c r="P127" s="60"/>
      <c r="Q127" s="88"/>
      <c r="R127" s="62">
        <v>526</v>
      </c>
      <c r="S127" s="61">
        <v>52.6</v>
      </c>
      <c r="T127" s="61"/>
      <c r="U127" s="75"/>
      <c r="V127" s="76"/>
      <c r="W127" s="77"/>
      <c r="X127" s="58"/>
      <c r="Y127" s="58"/>
      <c r="AB127" s="59"/>
      <c r="AC127" s="60">
        <v>205</v>
      </c>
      <c r="AD127" s="88">
        <v>10</v>
      </c>
      <c r="AE127" s="62"/>
      <c r="AF127" s="61"/>
      <c r="AG127" s="61"/>
      <c r="AH127" s="75"/>
      <c r="AI127" s="76"/>
      <c r="AJ127" s="77"/>
      <c r="AK127" s="58"/>
      <c r="AL127" s="58"/>
      <c r="AO127" s="33" t="s">
        <v>106</v>
      </c>
      <c r="AP127" s="34"/>
      <c r="AQ127" s="34"/>
      <c r="AR127" s="34"/>
      <c r="AS127" s="34"/>
      <c r="AT127" s="34"/>
      <c r="AU127" s="34"/>
      <c r="AV127" s="34"/>
      <c r="AW127" s="34"/>
      <c r="AX127" s="34"/>
      <c r="AY127" s="35"/>
      <c r="BB127" s="59"/>
      <c r="BC127" s="60">
        <v>1220</v>
      </c>
      <c r="BD127" s="61">
        <v>280</v>
      </c>
      <c r="BE127" s="62"/>
      <c r="BF127" s="61"/>
      <c r="BG127" s="61"/>
      <c r="BH127" s="75"/>
      <c r="BI127" s="84"/>
      <c r="BJ127" s="77"/>
      <c r="BK127" s="77"/>
      <c r="BL127" s="87"/>
    </row>
    <row r="128" ht="15.75" spans="2:64">
      <c r="B128" s="69"/>
      <c r="C128" s="112"/>
      <c r="D128" s="71"/>
      <c r="E128" s="58"/>
      <c r="F128" s="70"/>
      <c r="G128" s="70"/>
      <c r="H128" s="72"/>
      <c r="I128" s="73"/>
      <c r="O128" s="69"/>
      <c r="P128" s="70">
        <v>208</v>
      </c>
      <c r="Q128" s="71">
        <v>20</v>
      </c>
      <c r="R128" s="70"/>
      <c r="S128" s="70"/>
      <c r="T128" s="70"/>
      <c r="U128" s="72"/>
      <c r="V128" s="73"/>
      <c r="W128" s="89" t="s">
        <v>44</v>
      </c>
      <c r="X128" s="90" t="s">
        <v>45</v>
      </c>
      <c r="Y128" s="90" t="s">
        <v>46</v>
      </c>
      <c r="AB128" s="69"/>
      <c r="AC128" s="70">
        <v>195</v>
      </c>
      <c r="AD128" s="71"/>
      <c r="AE128" s="70"/>
      <c r="AF128" s="70"/>
      <c r="AG128" s="70"/>
      <c r="AH128" s="72"/>
      <c r="AI128" s="73"/>
      <c r="AJ128" s="89" t="s">
        <v>44</v>
      </c>
      <c r="AK128" s="90" t="s">
        <v>45</v>
      </c>
      <c r="AL128" s="90" t="s">
        <v>46</v>
      </c>
      <c r="AO128" s="36"/>
      <c r="AP128" s="37"/>
      <c r="AQ128" s="37"/>
      <c r="AR128" s="37"/>
      <c r="AS128" s="37"/>
      <c r="AT128" s="37"/>
      <c r="AU128" s="37"/>
      <c r="AV128" s="37"/>
      <c r="AW128" s="37"/>
      <c r="AX128" s="37"/>
      <c r="AY128" s="38"/>
      <c r="BB128" s="69"/>
      <c r="BC128" s="70"/>
      <c r="BD128" s="85"/>
      <c r="BE128" s="70">
        <v>333</v>
      </c>
      <c r="BF128" s="70"/>
      <c r="BG128" s="70"/>
      <c r="BH128" s="72"/>
      <c r="BI128" s="73"/>
      <c r="BJ128" s="58"/>
      <c r="BK128" s="58"/>
      <c r="BL128" s="58"/>
    </row>
    <row r="129" ht="15.75" spans="2:64">
      <c r="B129" s="102">
        <f t="shared" ref="B129:G129" si="24">SUM(B87:B128)</f>
        <v>1016</v>
      </c>
      <c r="C129" s="103">
        <f t="shared" si="24"/>
        <v>4844</v>
      </c>
      <c r="D129" s="104">
        <f t="shared" si="24"/>
        <v>523</v>
      </c>
      <c r="E129" s="105">
        <f t="shared" si="24"/>
        <v>4060</v>
      </c>
      <c r="F129" s="106">
        <f t="shared" si="24"/>
        <v>411.3</v>
      </c>
      <c r="G129" s="107">
        <f t="shared" si="24"/>
        <v>898</v>
      </c>
      <c r="H129" s="108" t="s">
        <v>54</v>
      </c>
      <c r="I129" s="109"/>
      <c r="O129" s="59"/>
      <c r="P129" s="60">
        <v>163</v>
      </c>
      <c r="Q129" s="61"/>
      <c r="R129" s="62"/>
      <c r="S129" s="61"/>
      <c r="T129" s="61"/>
      <c r="U129" s="75"/>
      <c r="V129" s="76"/>
      <c r="W129" s="92" t="s">
        <v>47</v>
      </c>
      <c r="X129" s="93" t="s">
        <v>48</v>
      </c>
      <c r="Y129" s="93" t="s">
        <v>50</v>
      </c>
      <c r="AB129" s="59"/>
      <c r="AC129" s="60">
        <v>578</v>
      </c>
      <c r="AD129" s="61">
        <v>122</v>
      </c>
      <c r="AE129" s="62"/>
      <c r="AF129" s="61"/>
      <c r="AG129" s="61"/>
      <c r="AH129" s="75"/>
      <c r="AI129" s="76"/>
      <c r="AJ129" s="92" t="s">
        <v>47</v>
      </c>
      <c r="AK129" s="93" t="s">
        <v>48</v>
      </c>
      <c r="AL129" s="93" t="s">
        <v>65</v>
      </c>
      <c r="AO129" s="39" t="s">
        <v>12</v>
      </c>
      <c r="AP129" s="40" t="s">
        <v>13</v>
      </c>
      <c r="AQ129" s="41"/>
      <c r="AR129" s="42" t="s">
        <v>14</v>
      </c>
      <c r="AS129" s="43"/>
      <c r="AT129" s="44" t="s">
        <v>15</v>
      </c>
      <c r="AU129" s="45"/>
      <c r="AV129" s="46"/>
      <c r="AW129" s="47" t="s">
        <v>16</v>
      </c>
      <c r="AX129" s="48"/>
      <c r="AY129" s="49">
        <f>AP155+AR155</f>
        <v>7637</v>
      </c>
      <c r="BB129" s="59"/>
      <c r="BC129" s="60"/>
      <c r="BD129" s="61"/>
      <c r="BE129" s="62"/>
      <c r="BF129" s="61"/>
      <c r="BG129" s="61"/>
      <c r="BH129" s="75"/>
      <c r="BI129" s="84"/>
      <c r="BJ129" s="58"/>
      <c r="BK129" s="58"/>
      <c r="BL129" s="58"/>
    </row>
    <row r="130" ht="15.75" spans="2:64">
      <c r="O130" s="69"/>
      <c r="P130" s="70">
        <v>65</v>
      </c>
      <c r="Q130" s="71"/>
      <c r="R130" s="70"/>
      <c r="S130" s="70"/>
      <c r="T130" s="70"/>
      <c r="U130" s="72"/>
      <c r="V130" s="73"/>
      <c r="W130" s="94" t="s">
        <v>52</v>
      </c>
      <c r="X130" s="95" t="s">
        <v>27</v>
      </c>
      <c r="Y130" s="95" t="s">
        <v>65</v>
      </c>
      <c r="AB130" s="69"/>
      <c r="AC130" s="70"/>
      <c r="AD130" s="71"/>
      <c r="AE130" s="70"/>
      <c r="AF130" s="70"/>
      <c r="AG130" s="70"/>
      <c r="AH130" s="72"/>
      <c r="AI130" s="73"/>
      <c r="AJ130" s="94" t="s">
        <v>52</v>
      </c>
      <c r="AK130" s="95" t="s">
        <v>27</v>
      </c>
      <c r="AL130" s="95" t="s">
        <v>43</v>
      </c>
      <c r="AO130" s="50"/>
      <c r="AP130" s="51" t="s">
        <v>17</v>
      </c>
      <c r="AQ130" s="51" t="s">
        <v>18</v>
      </c>
      <c r="AR130" s="52" t="s">
        <v>17</v>
      </c>
      <c r="AS130" s="52" t="s">
        <v>18</v>
      </c>
      <c r="AT130" s="53"/>
      <c r="AU130" s="54"/>
      <c r="AV130" s="55"/>
      <c r="AW130" s="56" t="s">
        <v>19</v>
      </c>
      <c r="AX130" s="57"/>
      <c r="AY130" s="49">
        <f>AQ155+AS155</f>
        <v>722.85</v>
      </c>
      <c r="BB130" s="59"/>
      <c r="BC130" s="60"/>
      <c r="BD130" s="61"/>
      <c r="BE130" s="62"/>
      <c r="BF130" s="61"/>
      <c r="BG130" s="61"/>
      <c r="BH130" s="75"/>
      <c r="BI130" s="76"/>
    </row>
    <row r="131" ht="15.75" spans="2:64">
      <c r="O131" s="59"/>
      <c r="P131" s="60">
        <v>108</v>
      </c>
      <c r="Q131" s="61">
        <v>12</v>
      </c>
      <c r="R131" s="62"/>
      <c r="S131" s="61"/>
      <c r="T131" s="61"/>
      <c r="U131" s="75"/>
      <c r="V131" s="76"/>
      <c r="W131" s="77"/>
      <c r="X131" s="77"/>
      <c r="Y131" s="87"/>
      <c r="AB131" s="59"/>
      <c r="AC131" s="60"/>
      <c r="AD131" s="61"/>
      <c r="AE131" s="62"/>
      <c r="AF131" s="61"/>
      <c r="AG131" s="61"/>
      <c r="AH131" s="75"/>
      <c r="AI131" s="76"/>
      <c r="AJ131" s="77"/>
      <c r="AK131" s="77"/>
      <c r="AL131" s="87"/>
      <c r="AO131" s="59">
        <v>4565</v>
      </c>
      <c r="AP131" s="68">
        <v>137</v>
      </c>
      <c r="AQ131" s="61">
        <v>12</v>
      </c>
      <c r="AR131" s="62"/>
      <c r="AS131" s="61"/>
      <c r="AT131" s="61">
        <v>25</v>
      </c>
      <c r="AU131" s="63" t="s">
        <v>29</v>
      </c>
      <c r="AV131" s="64"/>
      <c r="AW131" s="65" t="s">
        <v>21</v>
      </c>
      <c r="AX131" s="66"/>
      <c r="AY131" s="67">
        <f>AT155</f>
        <v>5114.5</v>
      </c>
      <c r="BB131" s="96"/>
      <c r="BC131" s="97"/>
      <c r="BD131" s="98"/>
      <c r="BE131" s="99"/>
      <c r="BF131" s="98"/>
      <c r="BG131" s="98"/>
      <c r="BH131" s="72"/>
      <c r="BI131" s="73"/>
    </row>
    <row r="132" ht="23" customHeight="1" spans="2:64">
      <c r="B132" s="33" t="s">
        <v>107</v>
      </c>
      <c r="C132" s="34"/>
      <c r="D132" s="34"/>
      <c r="E132" s="34"/>
      <c r="F132" s="34"/>
      <c r="G132" s="34"/>
      <c r="H132" s="34"/>
      <c r="I132" s="34"/>
      <c r="J132" s="34"/>
      <c r="K132" s="34"/>
      <c r="L132" s="35"/>
      <c r="O132" s="69"/>
      <c r="P132" s="70">
        <v>175</v>
      </c>
      <c r="Q132" s="71">
        <v>20</v>
      </c>
      <c r="R132" s="70"/>
      <c r="S132" s="70"/>
      <c r="T132" s="70"/>
      <c r="U132" s="72"/>
      <c r="V132" s="73"/>
      <c r="W132" s="58"/>
      <c r="X132" s="58"/>
      <c r="Y132" s="58"/>
      <c r="AB132" s="69"/>
      <c r="AC132" s="70"/>
      <c r="AD132" s="71"/>
      <c r="AE132" s="70"/>
      <c r="AF132" s="70"/>
      <c r="AG132" s="70"/>
      <c r="AH132" s="72"/>
      <c r="AI132" s="73"/>
      <c r="AJ132" s="58"/>
      <c r="AK132" s="58"/>
      <c r="AL132" s="58"/>
      <c r="AO132" s="69"/>
      <c r="AP132" s="70"/>
      <c r="AQ132" s="71"/>
      <c r="AR132" s="70">
        <v>596</v>
      </c>
      <c r="AS132" s="70">
        <v>59.6</v>
      </c>
      <c r="AT132" s="70">
        <v>88.5</v>
      </c>
      <c r="AU132" s="72" t="s">
        <v>108</v>
      </c>
      <c r="AV132" s="73"/>
      <c r="AW132" s="74" t="s">
        <v>26</v>
      </c>
      <c r="AX132" s="57"/>
      <c r="AY132" s="49">
        <f>AO155+AY129+AY130-AY131-AR155-AS155</f>
        <v>3474.5</v>
      </c>
      <c r="BB132" s="102">
        <f t="shared" ref="BB132:BG132" si="25">SUM(BB115:BB131)</f>
        <v>414</v>
      </c>
      <c r="BC132" s="103">
        <f t="shared" si="25"/>
        <v>3807</v>
      </c>
      <c r="BD132" s="104">
        <f t="shared" si="25"/>
        <v>560</v>
      </c>
      <c r="BE132" s="105">
        <f t="shared" si="25"/>
        <v>2075</v>
      </c>
      <c r="BF132" s="106">
        <f t="shared" si="25"/>
        <v>139</v>
      </c>
      <c r="BG132" s="107">
        <f t="shared" si="25"/>
        <v>216</v>
      </c>
      <c r="BH132" s="108" t="s">
        <v>54</v>
      </c>
      <c r="BI132" s="109"/>
    </row>
    <row r="133" ht="15.75" spans="2:64">
      <c r="B133" s="36"/>
      <c r="C133" s="37"/>
      <c r="D133" s="37"/>
      <c r="E133" s="37"/>
      <c r="F133" s="37"/>
      <c r="G133" s="37"/>
      <c r="H133" s="37"/>
      <c r="I133" s="37"/>
      <c r="J133" s="37"/>
      <c r="K133" s="37"/>
      <c r="L133" s="38"/>
      <c r="O133" s="59"/>
      <c r="P133" s="60"/>
      <c r="Q133" s="61"/>
      <c r="R133" s="62"/>
      <c r="S133" s="61"/>
      <c r="T133" s="61"/>
      <c r="U133" s="75"/>
      <c r="V133" s="76"/>
      <c r="W133" s="58"/>
      <c r="X133" s="58"/>
      <c r="Y133" s="58"/>
      <c r="AB133" s="59"/>
      <c r="AC133" s="60"/>
      <c r="AD133" s="61"/>
      <c r="AE133" s="62"/>
      <c r="AF133" s="61"/>
      <c r="AG133" s="61"/>
      <c r="AH133" s="75"/>
      <c r="AI133" s="76"/>
      <c r="AO133" s="59"/>
      <c r="AP133" s="60"/>
      <c r="AQ133" s="61"/>
      <c r="AR133" s="62">
        <v>473</v>
      </c>
      <c r="AS133" s="61">
        <v>47.3</v>
      </c>
      <c r="AT133" s="61">
        <v>413</v>
      </c>
      <c r="AU133" s="75" t="s">
        <v>109</v>
      </c>
      <c r="AV133" s="76"/>
      <c r="AW133" s="77"/>
      <c r="AX133" s="78" t="s">
        <v>30</v>
      </c>
      <c r="AY133" s="79">
        <f>AY130/4</f>
        <v>180.7125</v>
      </c>
    </row>
    <row r="134" ht="15.75" spans="2:64">
      <c r="B134" s="39" t="s">
        <v>12</v>
      </c>
      <c r="C134" s="40" t="s">
        <v>13</v>
      </c>
      <c r="D134" s="41"/>
      <c r="E134" s="42" t="s">
        <v>14</v>
      </c>
      <c r="F134" s="43"/>
      <c r="G134" s="44" t="s">
        <v>15</v>
      </c>
      <c r="H134" s="45"/>
      <c r="I134" s="46"/>
      <c r="J134" s="47" t="s">
        <v>16</v>
      </c>
      <c r="K134" s="48"/>
      <c r="L134" s="49">
        <f>C164+E164</f>
        <v>5664</v>
      </c>
      <c r="O134" s="69"/>
      <c r="P134" s="71"/>
      <c r="Q134" s="71"/>
      <c r="R134" s="70"/>
      <c r="S134" s="70"/>
      <c r="T134" s="70"/>
      <c r="U134" s="72"/>
      <c r="V134" s="73"/>
      <c r="W134" s="58"/>
      <c r="X134" s="58"/>
      <c r="Y134" s="58"/>
      <c r="AB134" s="69"/>
      <c r="AC134" s="70"/>
      <c r="AD134" s="71"/>
      <c r="AE134" s="70"/>
      <c r="AF134" s="70"/>
      <c r="AG134" s="70"/>
      <c r="AH134" s="72"/>
      <c r="AI134" s="73"/>
      <c r="AO134" s="69"/>
      <c r="AP134" s="70"/>
      <c r="AQ134" s="71"/>
      <c r="AR134" s="70">
        <v>537</v>
      </c>
      <c r="AS134" s="70">
        <v>53.7</v>
      </c>
      <c r="AT134" s="70">
        <v>2682</v>
      </c>
      <c r="AU134" s="72" t="s">
        <v>38</v>
      </c>
      <c r="AV134" s="73"/>
      <c r="AW134" s="77"/>
      <c r="AX134" s="80" t="s">
        <v>34</v>
      </c>
      <c r="AY134" s="81">
        <f>AY130/6</f>
        <v>120.475</v>
      </c>
    </row>
    <row r="135" ht="15.75" spans="2:64">
      <c r="B135" s="50"/>
      <c r="C135" s="51" t="s">
        <v>17</v>
      </c>
      <c r="D135" s="51" t="s">
        <v>18</v>
      </c>
      <c r="E135" s="52" t="s">
        <v>17</v>
      </c>
      <c r="F135" s="52" t="s">
        <v>18</v>
      </c>
      <c r="G135" s="53"/>
      <c r="H135" s="54"/>
      <c r="I135" s="55"/>
      <c r="J135" s="56" t="s">
        <v>19</v>
      </c>
      <c r="K135" s="57"/>
      <c r="L135" s="49">
        <f>D164+F164</f>
        <v>552.75</v>
      </c>
      <c r="O135" s="59"/>
      <c r="P135" s="61"/>
      <c r="Q135" s="61"/>
      <c r="R135" s="62"/>
      <c r="S135" s="61"/>
      <c r="T135" s="61"/>
      <c r="U135" s="75"/>
      <c r="V135" s="76"/>
      <c r="W135" s="58"/>
      <c r="X135" s="58"/>
      <c r="Y135" s="58"/>
      <c r="AB135" s="59"/>
      <c r="AC135" s="60"/>
      <c r="AD135" s="61"/>
      <c r="AE135" s="62"/>
      <c r="AF135" s="61"/>
      <c r="AG135" s="61"/>
      <c r="AH135" s="75"/>
      <c r="AI135" s="76"/>
      <c r="AO135" s="59"/>
      <c r="AP135" s="60">
        <v>8</v>
      </c>
      <c r="AQ135" s="61"/>
      <c r="AR135" s="62"/>
      <c r="AS135" s="61"/>
      <c r="AT135" s="61">
        <v>1906</v>
      </c>
      <c r="AU135" s="75" t="s">
        <v>43</v>
      </c>
      <c r="AV135" s="84"/>
      <c r="AW135" s="77"/>
      <c r="AX135" s="82" t="s">
        <v>37</v>
      </c>
      <c r="AY135" s="83">
        <f>AY130/8</f>
        <v>90.35625</v>
      </c>
      <c r="BB135" s="33" t="s">
        <v>110</v>
      </c>
      <c r="BC135" s="34"/>
      <c r="BD135" s="34"/>
      <c r="BE135" s="34"/>
      <c r="BF135" s="34"/>
      <c r="BG135" s="34"/>
      <c r="BH135" s="34"/>
      <c r="BI135" s="34"/>
      <c r="BJ135" s="34"/>
      <c r="BK135" s="34"/>
      <c r="BL135" s="35"/>
    </row>
    <row r="136" ht="15.75" spans="2:64">
      <c r="B136" s="59">
        <v>5485</v>
      </c>
      <c r="C136" s="60">
        <v>30</v>
      </c>
      <c r="D136" s="61"/>
      <c r="E136" s="62"/>
      <c r="F136" s="61"/>
      <c r="G136" s="61">
        <v>29</v>
      </c>
      <c r="H136" s="63" t="s">
        <v>20</v>
      </c>
      <c r="I136" s="64"/>
      <c r="J136" s="65" t="s">
        <v>21</v>
      </c>
      <c r="K136" s="66"/>
      <c r="L136" s="67">
        <f>G164</f>
        <v>4187</v>
      </c>
      <c r="O136" s="69"/>
      <c r="P136" s="71"/>
      <c r="Q136" s="71"/>
      <c r="R136" s="70"/>
      <c r="S136" s="70"/>
      <c r="T136" s="70"/>
      <c r="U136" s="72"/>
      <c r="V136" s="73"/>
      <c r="W136" s="58"/>
      <c r="X136" s="58"/>
      <c r="Y136" s="58"/>
      <c r="AB136" s="102">
        <f t="shared" ref="AB136:AG136" si="26">SUM(AB119:AB135)</f>
        <v>1991</v>
      </c>
      <c r="AC136" s="103">
        <f t="shared" si="26"/>
        <v>3178</v>
      </c>
      <c r="AD136" s="104">
        <f t="shared" si="26"/>
        <v>334</v>
      </c>
      <c r="AE136" s="105">
        <f t="shared" si="26"/>
        <v>649</v>
      </c>
      <c r="AF136" s="106">
        <f t="shared" si="26"/>
        <v>66.75</v>
      </c>
      <c r="AG136" s="107">
        <f t="shared" si="26"/>
        <v>2030</v>
      </c>
      <c r="AH136" s="108" t="s">
        <v>54</v>
      </c>
      <c r="AI136" s="109"/>
      <c r="AO136" s="69"/>
      <c r="AP136" s="70"/>
      <c r="AQ136" s="85"/>
      <c r="AR136" s="70">
        <v>463</v>
      </c>
      <c r="AS136" s="70">
        <v>46.3</v>
      </c>
      <c r="AT136" s="70"/>
      <c r="AU136" s="72"/>
      <c r="AV136" s="73"/>
      <c r="AW136" s="86"/>
      <c r="AX136" s="77"/>
      <c r="AY136" s="87"/>
      <c r="BB136" s="36"/>
      <c r="BC136" s="37"/>
      <c r="BD136" s="37"/>
      <c r="BE136" s="37"/>
      <c r="BF136" s="37"/>
      <c r="BG136" s="37"/>
      <c r="BH136" s="37"/>
      <c r="BI136" s="37"/>
      <c r="BJ136" s="37"/>
      <c r="BK136" s="37"/>
      <c r="BL136" s="38"/>
    </row>
    <row r="137" ht="15.75" spans="2:64">
      <c r="B137" s="69"/>
      <c r="C137" s="70"/>
      <c r="D137" s="71"/>
      <c r="E137" s="70">
        <v>698</v>
      </c>
      <c r="F137" s="70">
        <v>69.8</v>
      </c>
      <c r="G137" s="70">
        <v>15</v>
      </c>
      <c r="H137" s="72" t="s">
        <v>111</v>
      </c>
      <c r="I137" s="73"/>
      <c r="J137" s="74" t="s">
        <v>26</v>
      </c>
      <c r="K137" s="57"/>
      <c r="L137" s="49">
        <f>B164+L134+L135-L136-E164-F164</f>
        <v>2873</v>
      </c>
      <c r="O137" s="59"/>
      <c r="P137" s="61"/>
      <c r="Q137" s="61"/>
      <c r="R137" s="62"/>
      <c r="S137" s="61"/>
      <c r="T137" s="61"/>
      <c r="U137" s="75"/>
      <c r="V137" s="76"/>
      <c r="W137" s="58"/>
      <c r="X137" s="58"/>
      <c r="Y137" s="58"/>
      <c r="AO137" s="59"/>
      <c r="AP137" s="60"/>
      <c r="AQ137" s="61"/>
      <c r="AR137" s="62">
        <v>567</v>
      </c>
      <c r="AS137" s="61">
        <v>85.05</v>
      </c>
      <c r="AT137" s="61"/>
      <c r="AU137" s="75"/>
      <c r="AV137" s="84"/>
      <c r="AW137" s="77"/>
      <c r="AX137" s="58"/>
      <c r="AY137" s="58"/>
      <c r="BB137" s="39" t="s">
        <v>12</v>
      </c>
      <c r="BC137" s="40" t="s">
        <v>13</v>
      </c>
      <c r="BD137" s="41"/>
      <c r="BE137" s="42" t="s">
        <v>14</v>
      </c>
      <c r="BF137" s="43"/>
      <c r="BG137" s="44" t="s">
        <v>15</v>
      </c>
      <c r="BH137" s="45"/>
      <c r="BI137" s="46"/>
      <c r="BJ137" s="47" t="s">
        <v>16</v>
      </c>
      <c r="BK137" s="48"/>
      <c r="BL137" s="49">
        <f>BC157+BE157</f>
        <v>2632</v>
      </c>
    </row>
    <row r="138" ht="15.75" spans="2:64">
      <c r="B138" s="59"/>
      <c r="C138" s="60">
        <v>430</v>
      </c>
      <c r="D138" s="61">
        <v>70</v>
      </c>
      <c r="E138" s="62"/>
      <c r="F138" s="61"/>
      <c r="G138" s="61">
        <v>100</v>
      </c>
      <c r="H138" s="75" t="s">
        <v>23</v>
      </c>
      <c r="I138" s="76"/>
      <c r="J138" s="77"/>
      <c r="K138" s="78" t="s">
        <v>30</v>
      </c>
      <c r="L138" s="79">
        <f>L135/4</f>
        <v>138.1875</v>
      </c>
      <c r="O138" s="96"/>
      <c r="P138" s="97"/>
      <c r="Q138" s="98"/>
      <c r="R138" s="99"/>
      <c r="S138" s="98"/>
      <c r="T138" s="98"/>
      <c r="U138" s="72"/>
      <c r="V138" s="73"/>
      <c r="AO138" s="69"/>
      <c r="AP138" s="70">
        <v>933</v>
      </c>
      <c r="AQ138" s="85">
        <v>87</v>
      </c>
      <c r="AR138" s="70"/>
      <c r="AS138" s="70"/>
      <c r="AT138" s="70"/>
      <c r="AU138" s="72"/>
      <c r="AV138" s="73"/>
      <c r="AW138" s="77"/>
      <c r="AX138" s="58"/>
      <c r="AY138" s="58"/>
      <c r="BB138" s="50"/>
      <c r="BC138" s="51" t="s">
        <v>17</v>
      </c>
      <c r="BD138" s="51" t="s">
        <v>18</v>
      </c>
      <c r="BE138" s="52" t="s">
        <v>17</v>
      </c>
      <c r="BF138" s="52" t="s">
        <v>18</v>
      </c>
      <c r="BG138" s="53"/>
      <c r="BH138" s="54"/>
      <c r="BI138" s="55"/>
      <c r="BJ138" s="56" t="s">
        <v>19</v>
      </c>
      <c r="BK138" s="57"/>
      <c r="BL138" s="49">
        <f>BD157+BF157</f>
        <v>242.9</v>
      </c>
    </row>
    <row r="139" ht="15.75" spans="2:64">
      <c r="B139" s="69"/>
      <c r="C139" s="70"/>
      <c r="D139" s="71"/>
      <c r="E139" s="70">
        <v>527</v>
      </c>
      <c r="F139" s="70">
        <v>52.7</v>
      </c>
      <c r="G139" s="70">
        <v>50</v>
      </c>
      <c r="H139" s="72" t="s">
        <v>23</v>
      </c>
      <c r="I139" s="73"/>
      <c r="J139" s="77"/>
      <c r="K139" s="80" t="s">
        <v>34</v>
      </c>
      <c r="L139" s="81">
        <f>L135/6</f>
        <v>92.125</v>
      </c>
      <c r="O139" s="59"/>
      <c r="P139" s="60"/>
      <c r="Q139" s="61"/>
      <c r="R139" s="62"/>
      <c r="S139" s="61"/>
      <c r="T139" s="61"/>
      <c r="U139" s="75"/>
      <c r="V139" s="76"/>
      <c r="AB139" s="33" t="s">
        <v>112</v>
      </c>
      <c r="AC139" s="34"/>
      <c r="AD139" s="34"/>
      <c r="AE139" s="34"/>
      <c r="AF139" s="34"/>
      <c r="AG139" s="34"/>
      <c r="AH139" s="34"/>
      <c r="AI139" s="34"/>
      <c r="AJ139" s="34"/>
      <c r="AK139" s="34"/>
      <c r="AL139" s="35"/>
      <c r="AO139" s="59"/>
      <c r="AP139" s="60">
        <v>790</v>
      </c>
      <c r="AQ139" s="61">
        <v>80</v>
      </c>
      <c r="AR139" s="62"/>
      <c r="AS139" s="61"/>
      <c r="AT139" s="61"/>
      <c r="AU139" s="75"/>
      <c r="AV139" s="84"/>
      <c r="AW139" s="77"/>
      <c r="AX139" s="58"/>
      <c r="AY139" s="58"/>
      <c r="BB139" s="59">
        <v>565</v>
      </c>
      <c r="BC139" s="68"/>
      <c r="BD139" s="61"/>
      <c r="BE139" s="62">
        <v>187</v>
      </c>
      <c r="BF139" s="61">
        <v>18.7</v>
      </c>
      <c r="BG139" s="61">
        <v>200</v>
      </c>
      <c r="BH139" s="63" t="s">
        <v>86</v>
      </c>
      <c r="BI139" s="64"/>
      <c r="BJ139" s="65" t="s">
        <v>21</v>
      </c>
      <c r="BK139" s="66"/>
      <c r="BL139" s="67">
        <f>BG157</f>
        <v>390</v>
      </c>
    </row>
    <row r="140" ht="15.75" spans="2:64">
      <c r="B140" s="59"/>
      <c r="C140" s="60">
        <v>108</v>
      </c>
      <c r="D140" s="61">
        <v>10</v>
      </c>
      <c r="E140" s="62"/>
      <c r="F140" s="61"/>
      <c r="G140" s="61">
        <v>1630</v>
      </c>
      <c r="H140" s="75" t="s">
        <v>113</v>
      </c>
      <c r="I140" s="76"/>
      <c r="J140" s="77"/>
      <c r="K140" s="82" t="s">
        <v>37</v>
      </c>
      <c r="L140" s="83">
        <f>L135/8</f>
        <v>69.09375</v>
      </c>
      <c r="O140" s="96"/>
      <c r="P140" s="97"/>
      <c r="Q140" s="98"/>
      <c r="R140" s="99"/>
      <c r="S140" s="98"/>
      <c r="T140" s="98"/>
      <c r="U140" s="100"/>
      <c r="V140" s="101"/>
      <c r="AB140" s="36"/>
      <c r="AC140" s="37"/>
      <c r="AD140" s="37"/>
      <c r="AE140" s="37"/>
      <c r="AF140" s="37"/>
      <c r="AG140" s="37"/>
      <c r="AH140" s="37"/>
      <c r="AI140" s="37"/>
      <c r="AJ140" s="37"/>
      <c r="AK140" s="37"/>
      <c r="AL140" s="38"/>
      <c r="AO140" s="69"/>
      <c r="AP140" s="70">
        <v>75</v>
      </c>
      <c r="AQ140" s="85"/>
      <c r="AR140" s="70"/>
      <c r="AS140" s="70"/>
      <c r="AT140" s="70"/>
      <c r="AU140" s="72"/>
      <c r="AV140" s="73"/>
      <c r="AW140" s="89" t="s">
        <v>44</v>
      </c>
      <c r="AX140" s="90" t="s">
        <v>45</v>
      </c>
      <c r="AY140" s="90" t="s">
        <v>46</v>
      </c>
      <c r="BB140" s="69"/>
      <c r="BC140" s="70">
        <v>142</v>
      </c>
      <c r="BD140" s="71">
        <v>8</v>
      </c>
      <c r="BE140" s="70"/>
      <c r="BF140" s="70"/>
      <c r="BG140" s="70">
        <v>160</v>
      </c>
      <c r="BH140" s="72" t="s">
        <v>63</v>
      </c>
      <c r="BI140" s="73"/>
      <c r="BJ140" s="74" t="s">
        <v>26</v>
      </c>
      <c r="BK140" s="57"/>
      <c r="BL140" s="49">
        <f>BB157+BL137+BL138-BL139-BE157-BF157</f>
        <v>1280</v>
      </c>
    </row>
    <row r="141" ht="15.75" spans="2:64">
      <c r="B141" s="69"/>
      <c r="C141" s="70">
        <v>268</v>
      </c>
      <c r="D141" s="85"/>
      <c r="E141" s="70"/>
      <c r="F141" s="70"/>
      <c r="G141" s="70">
        <v>2363</v>
      </c>
      <c r="H141" s="72" t="s">
        <v>114</v>
      </c>
      <c r="I141" s="73"/>
      <c r="J141" s="86"/>
      <c r="K141" s="77"/>
      <c r="L141" s="87"/>
      <c r="O141" s="102">
        <f t="shared" ref="O141:T141" si="27">SUM(O119:O140)</f>
        <v>795</v>
      </c>
      <c r="P141" s="103">
        <f t="shared" si="27"/>
        <v>2547</v>
      </c>
      <c r="Q141" s="104">
        <f t="shared" si="27"/>
        <v>198</v>
      </c>
      <c r="R141" s="105">
        <f t="shared" si="27"/>
        <v>1224</v>
      </c>
      <c r="S141" s="106">
        <f t="shared" si="27"/>
        <v>97.6</v>
      </c>
      <c r="T141" s="107">
        <f t="shared" si="27"/>
        <v>66</v>
      </c>
      <c r="U141" s="108" t="s">
        <v>54</v>
      </c>
      <c r="V141" s="109"/>
      <c r="AB141" s="39" t="s">
        <v>12</v>
      </c>
      <c r="AC141" s="40" t="s">
        <v>13</v>
      </c>
      <c r="AD141" s="41"/>
      <c r="AE141" s="42" t="s">
        <v>14</v>
      </c>
      <c r="AF141" s="43"/>
      <c r="AG141" s="44" t="s">
        <v>15</v>
      </c>
      <c r="AH141" s="45"/>
      <c r="AI141" s="46"/>
      <c r="AJ141" s="47" t="s">
        <v>16</v>
      </c>
      <c r="AK141" s="48"/>
      <c r="AL141" s="49">
        <f>AC160+AE160</f>
        <v>3279</v>
      </c>
      <c r="AO141" s="59"/>
      <c r="AP141" s="60">
        <v>1169</v>
      </c>
      <c r="AQ141" s="61">
        <v>131</v>
      </c>
      <c r="AR141" s="62"/>
      <c r="AS141" s="61"/>
      <c r="AT141" s="61"/>
      <c r="AU141" s="75"/>
      <c r="AV141" s="84"/>
      <c r="AW141" s="92" t="s">
        <v>47</v>
      </c>
      <c r="AX141" s="93" t="s">
        <v>51</v>
      </c>
      <c r="AY141" s="93" t="s">
        <v>43</v>
      </c>
      <c r="BB141" s="59"/>
      <c r="BC141" s="60">
        <v>440</v>
      </c>
      <c r="BD141" s="61">
        <v>60</v>
      </c>
      <c r="BE141" s="62"/>
      <c r="BF141" s="61"/>
      <c r="BG141" s="61">
        <v>30</v>
      </c>
      <c r="BH141" s="75" t="s">
        <v>29</v>
      </c>
      <c r="BI141" s="76"/>
      <c r="BJ141" s="77"/>
      <c r="BK141" s="78" t="s">
        <v>30</v>
      </c>
      <c r="BL141" s="79">
        <f>BL138/4</f>
        <v>60.725</v>
      </c>
    </row>
    <row r="142" ht="15.75" spans="2:64">
      <c r="B142" s="59"/>
      <c r="C142" s="60"/>
      <c r="D142" s="61"/>
      <c r="E142" s="62">
        <v>340</v>
      </c>
      <c r="F142" s="61">
        <v>68</v>
      </c>
      <c r="G142" s="61"/>
      <c r="H142" s="75"/>
      <c r="I142" s="76"/>
      <c r="J142" s="77"/>
      <c r="K142" s="58"/>
      <c r="L142" s="58"/>
      <c r="AB142" s="50"/>
      <c r="AC142" s="51" t="s">
        <v>17</v>
      </c>
      <c r="AD142" s="51" t="s">
        <v>18</v>
      </c>
      <c r="AE142" s="52" t="s">
        <v>17</v>
      </c>
      <c r="AF142" s="52" t="s">
        <v>18</v>
      </c>
      <c r="AG142" s="53"/>
      <c r="AH142" s="54"/>
      <c r="AI142" s="55"/>
      <c r="AJ142" s="56" t="s">
        <v>19</v>
      </c>
      <c r="AK142" s="57"/>
      <c r="AL142" s="49">
        <f>AD160+AF160</f>
        <v>252</v>
      </c>
      <c r="AO142" s="69"/>
      <c r="AP142" s="70"/>
      <c r="AQ142" s="85"/>
      <c r="AR142" s="70">
        <v>709</v>
      </c>
      <c r="AS142" s="70">
        <v>70.9</v>
      </c>
      <c r="AT142" s="70"/>
      <c r="AU142" s="72"/>
      <c r="AV142" s="73"/>
      <c r="AW142" s="94" t="s">
        <v>52</v>
      </c>
      <c r="AX142" s="95" t="s">
        <v>27</v>
      </c>
      <c r="AY142" s="95" t="s">
        <v>67</v>
      </c>
      <c r="BB142" s="69"/>
      <c r="BC142" s="70"/>
      <c r="BD142" s="71"/>
      <c r="BE142" s="70">
        <v>158</v>
      </c>
      <c r="BF142" s="70">
        <v>15.8</v>
      </c>
      <c r="BG142" s="70"/>
      <c r="BH142" s="72"/>
      <c r="BI142" s="73"/>
      <c r="BJ142" s="77"/>
      <c r="BK142" s="80" t="s">
        <v>34</v>
      </c>
      <c r="BL142" s="81">
        <f>BL138/6</f>
        <v>40.4833333333333</v>
      </c>
    </row>
    <row r="143" ht="15.75" spans="2:64">
      <c r="B143" s="69"/>
      <c r="C143" s="70"/>
      <c r="D143" s="71">
        <v>54</v>
      </c>
      <c r="E143" s="70">
        <v>506</v>
      </c>
      <c r="F143" s="70"/>
      <c r="G143" s="70"/>
      <c r="H143" s="72"/>
      <c r="I143" s="73"/>
      <c r="J143" s="77"/>
      <c r="K143" s="58"/>
      <c r="L143" s="58"/>
      <c r="AB143" s="59">
        <v>3473</v>
      </c>
      <c r="AC143" s="60"/>
      <c r="AD143" s="61"/>
      <c r="AE143" s="62">
        <v>127</v>
      </c>
      <c r="AF143" s="61"/>
      <c r="AG143" s="61">
        <v>1500</v>
      </c>
      <c r="AH143" s="63" t="s">
        <v>66</v>
      </c>
      <c r="AI143" s="64"/>
      <c r="AJ143" s="65" t="s">
        <v>21</v>
      </c>
      <c r="AK143" s="66"/>
      <c r="AL143" s="67">
        <f>AG160</f>
        <v>2660.47</v>
      </c>
      <c r="AO143" s="59"/>
      <c r="AP143" s="60">
        <v>16</v>
      </c>
      <c r="AQ143" s="61"/>
      <c r="AR143" s="62"/>
      <c r="AS143" s="61"/>
      <c r="AT143" s="61"/>
      <c r="AU143" s="75"/>
      <c r="AV143" s="84"/>
      <c r="AW143" s="77"/>
      <c r="AX143" s="77"/>
      <c r="AY143" s="87"/>
      <c r="BB143" s="59"/>
      <c r="BC143" s="60">
        <v>220</v>
      </c>
      <c r="BD143" s="61">
        <v>22</v>
      </c>
      <c r="BE143" s="62"/>
      <c r="BF143" s="61"/>
      <c r="BG143" s="61"/>
      <c r="BH143" s="75"/>
      <c r="BI143" s="84"/>
      <c r="BJ143" s="77"/>
      <c r="BK143" s="82" t="s">
        <v>37</v>
      </c>
      <c r="BL143" s="83">
        <f>BL138/8</f>
        <v>30.3625</v>
      </c>
    </row>
    <row r="144" ht="15.75" spans="2:64">
      <c r="B144" s="59"/>
      <c r="C144" s="60"/>
      <c r="D144" s="88">
        <v>30</v>
      </c>
      <c r="E144" s="62">
        <v>803</v>
      </c>
      <c r="F144" s="61"/>
      <c r="G144" s="61"/>
      <c r="H144" s="75"/>
      <c r="I144" s="76"/>
      <c r="J144" s="77"/>
      <c r="K144" s="58"/>
      <c r="L144" s="58"/>
      <c r="O144" s="33" t="s">
        <v>115</v>
      </c>
      <c r="P144" s="34"/>
      <c r="Q144" s="34"/>
      <c r="R144" s="34"/>
      <c r="S144" s="34"/>
      <c r="T144" s="34"/>
      <c r="U144" s="34"/>
      <c r="V144" s="34"/>
      <c r="W144" s="34"/>
      <c r="X144" s="34"/>
      <c r="Y144" s="35"/>
      <c r="AB144" s="69"/>
      <c r="AC144" s="70">
        <v>152</v>
      </c>
      <c r="AD144" s="71">
        <v>10</v>
      </c>
      <c r="AE144" s="70"/>
      <c r="AF144" s="70"/>
      <c r="AG144" s="70">
        <v>61.9</v>
      </c>
      <c r="AH144" s="72" t="s">
        <v>36</v>
      </c>
      <c r="AI144" s="73"/>
      <c r="AJ144" s="74" t="s">
        <v>26</v>
      </c>
      <c r="AK144" s="57"/>
      <c r="AL144" s="49">
        <f>AB160+AL141+AL142-AL143-AE160-AF160</f>
        <v>2986.53</v>
      </c>
      <c r="AO144" s="69"/>
      <c r="AP144" s="70"/>
      <c r="AQ144" s="85"/>
      <c r="AR144" s="70">
        <v>628</v>
      </c>
      <c r="AS144" s="70"/>
      <c r="AT144" s="70"/>
      <c r="AU144" s="72"/>
      <c r="AV144" s="73"/>
      <c r="AW144" s="58"/>
      <c r="AX144" s="58"/>
      <c r="AY144" s="58"/>
      <c r="BB144" s="69"/>
      <c r="BC144" s="70"/>
      <c r="BD144" s="85"/>
      <c r="BE144" s="70">
        <v>423</v>
      </c>
      <c r="BF144" s="70">
        <v>17</v>
      </c>
      <c r="BG144" s="70"/>
      <c r="BH144" s="72"/>
      <c r="BI144" s="73"/>
      <c r="BJ144" s="86"/>
      <c r="BK144" s="77"/>
      <c r="BL144" s="87"/>
    </row>
    <row r="145" ht="15.75" spans="2:64">
      <c r="B145" s="69"/>
      <c r="C145" s="70"/>
      <c r="D145" s="71"/>
      <c r="E145" s="70">
        <v>175</v>
      </c>
      <c r="F145" s="70"/>
      <c r="G145" s="70"/>
      <c r="H145" s="72"/>
      <c r="I145" s="73"/>
      <c r="J145" s="89" t="s">
        <v>44</v>
      </c>
      <c r="K145" s="90" t="s">
        <v>45</v>
      </c>
      <c r="L145" s="90" t="s">
        <v>46</v>
      </c>
      <c r="O145" s="36"/>
      <c r="P145" s="37"/>
      <c r="Q145" s="37"/>
      <c r="R145" s="37"/>
      <c r="S145" s="37"/>
      <c r="T145" s="37"/>
      <c r="U145" s="37"/>
      <c r="V145" s="37"/>
      <c r="W145" s="37"/>
      <c r="X145" s="37"/>
      <c r="Y145" s="38"/>
      <c r="AB145" s="59"/>
      <c r="AC145" s="60">
        <v>530</v>
      </c>
      <c r="AD145" s="61">
        <v>30</v>
      </c>
      <c r="AE145" s="62"/>
      <c r="AF145" s="61"/>
      <c r="AG145" s="61">
        <v>30</v>
      </c>
      <c r="AH145" s="75" t="s">
        <v>116</v>
      </c>
      <c r="AI145" s="76"/>
      <c r="AJ145" s="77"/>
      <c r="AK145" s="78" t="s">
        <v>30</v>
      </c>
      <c r="AL145" s="79">
        <f>AL142/4</f>
        <v>63</v>
      </c>
      <c r="AO145" s="59"/>
      <c r="AP145" s="60">
        <v>338</v>
      </c>
      <c r="AQ145" s="61">
        <v>50</v>
      </c>
      <c r="AR145" s="62"/>
      <c r="AS145" s="61"/>
      <c r="AT145" s="61"/>
      <c r="AU145" s="75"/>
      <c r="AV145" s="84"/>
      <c r="AW145" s="58"/>
      <c r="AX145" s="58"/>
      <c r="AY145" s="58"/>
      <c r="BB145" s="59"/>
      <c r="BC145" s="60"/>
      <c r="BD145" s="61"/>
      <c r="BE145" s="62">
        <v>536</v>
      </c>
      <c r="BF145" s="61">
        <v>53.6</v>
      </c>
      <c r="BG145" s="61"/>
      <c r="BH145" s="75"/>
      <c r="BI145" s="84"/>
      <c r="BJ145" s="77"/>
      <c r="BK145" s="58"/>
      <c r="BL145" s="58"/>
    </row>
    <row r="146" ht="22" customHeight="1" spans="2:64">
      <c r="B146" s="59"/>
      <c r="C146" s="60"/>
      <c r="D146" s="61"/>
      <c r="E146" s="62">
        <v>498</v>
      </c>
      <c r="F146" s="61">
        <v>49.8</v>
      </c>
      <c r="G146" s="61"/>
      <c r="H146" s="75"/>
      <c r="I146" s="76"/>
      <c r="J146" s="92" t="s">
        <v>47</v>
      </c>
      <c r="K146" s="93" t="s">
        <v>48</v>
      </c>
      <c r="L146" s="93" t="s">
        <v>96</v>
      </c>
      <c r="O146" s="39" t="s">
        <v>12</v>
      </c>
      <c r="P146" s="40" t="s">
        <v>13</v>
      </c>
      <c r="Q146" s="41"/>
      <c r="R146" s="42" t="s">
        <v>14</v>
      </c>
      <c r="S146" s="43"/>
      <c r="T146" s="44" t="s">
        <v>15</v>
      </c>
      <c r="U146" s="45"/>
      <c r="V146" s="46"/>
      <c r="W146" s="47" t="s">
        <v>16</v>
      </c>
      <c r="X146" s="48"/>
      <c r="Y146" s="49">
        <f>P170+R170</f>
        <v>7325</v>
      </c>
      <c r="AB146" s="69"/>
      <c r="AC146" s="70"/>
      <c r="AD146" s="71"/>
      <c r="AE146" s="70">
        <v>378</v>
      </c>
      <c r="AF146" s="70">
        <v>37.8</v>
      </c>
      <c r="AG146" s="70">
        <v>25</v>
      </c>
      <c r="AH146" s="72" t="s">
        <v>29</v>
      </c>
      <c r="AI146" s="73"/>
      <c r="AJ146" s="77"/>
      <c r="AK146" s="80" t="s">
        <v>34</v>
      </c>
      <c r="AL146" s="81">
        <f>AL142/6</f>
        <v>42</v>
      </c>
      <c r="AO146" s="69"/>
      <c r="AP146" s="70">
        <v>198</v>
      </c>
      <c r="AQ146" s="85"/>
      <c r="AR146" s="70"/>
      <c r="AS146" s="70"/>
      <c r="AT146" s="70"/>
      <c r="AU146" s="72"/>
      <c r="AV146" s="73"/>
      <c r="AW146" s="58"/>
      <c r="AX146" s="58"/>
      <c r="AY146" s="58"/>
      <c r="BB146" s="69"/>
      <c r="BC146" s="70"/>
      <c r="BD146" s="85"/>
      <c r="BE146" s="70">
        <v>328</v>
      </c>
      <c r="BF146" s="70">
        <v>32.8</v>
      </c>
      <c r="BG146" s="70"/>
      <c r="BH146" s="72"/>
      <c r="BI146" s="73"/>
      <c r="BJ146" s="77"/>
      <c r="BK146" s="58"/>
      <c r="BL146" s="58"/>
    </row>
    <row r="147" ht="15.75" spans="2:64">
      <c r="B147" s="69"/>
      <c r="C147" s="70">
        <v>225</v>
      </c>
      <c r="D147" s="71">
        <v>25</v>
      </c>
      <c r="E147" s="70"/>
      <c r="F147" s="70"/>
      <c r="G147" s="70"/>
      <c r="H147" s="72"/>
      <c r="I147" s="73"/>
      <c r="J147" s="94" t="s">
        <v>52</v>
      </c>
      <c r="K147" s="95" t="s">
        <v>27</v>
      </c>
      <c r="L147" s="95" t="s">
        <v>117</v>
      </c>
      <c r="O147" s="50"/>
      <c r="P147" s="51" t="s">
        <v>17</v>
      </c>
      <c r="Q147" s="51" t="s">
        <v>18</v>
      </c>
      <c r="R147" s="52" t="s">
        <v>17</v>
      </c>
      <c r="S147" s="52" t="s">
        <v>18</v>
      </c>
      <c r="T147" s="53"/>
      <c r="U147" s="54"/>
      <c r="V147" s="55"/>
      <c r="W147" s="56" t="s">
        <v>19</v>
      </c>
      <c r="X147" s="57"/>
      <c r="Y147" s="49">
        <f>Q170+S170</f>
        <v>539.9</v>
      </c>
      <c r="AB147" s="59"/>
      <c r="AC147" s="60">
        <v>350</v>
      </c>
      <c r="AD147" s="61"/>
      <c r="AE147" s="62"/>
      <c r="AF147" s="61"/>
      <c r="AG147" s="61">
        <v>16.57</v>
      </c>
      <c r="AH147" s="75" t="s">
        <v>28</v>
      </c>
      <c r="AI147" s="76"/>
      <c r="AJ147" s="77"/>
      <c r="AK147" s="82" t="s">
        <v>37</v>
      </c>
      <c r="AL147" s="83">
        <f>AL142/8</f>
        <v>31.5</v>
      </c>
      <c r="AO147" s="59"/>
      <c r="AP147" s="60"/>
      <c r="AQ147" s="61"/>
      <c r="AR147" s="62"/>
      <c r="AS147" s="61"/>
      <c r="AT147" s="61"/>
      <c r="AU147" s="75"/>
      <c r="AV147" s="84"/>
      <c r="AW147" s="58"/>
      <c r="AX147" s="58"/>
      <c r="AY147" s="58"/>
      <c r="BB147" s="59"/>
      <c r="BC147" s="60">
        <v>198</v>
      </c>
      <c r="BD147" s="61">
        <v>15</v>
      </c>
      <c r="BE147" s="62"/>
      <c r="BF147" s="61"/>
      <c r="BG147" s="61"/>
      <c r="BH147" s="75"/>
      <c r="BI147" s="84"/>
      <c r="BJ147" s="77"/>
      <c r="BK147" s="58"/>
      <c r="BL147" s="58"/>
    </row>
    <row r="148" ht="15.75" spans="2:64">
      <c r="B148" s="59"/>
      <c r="C148" s="60"/>
      <c r="D148" s="61"/>
      <c r="E148" s="62">
        <v>290</v>
      </c>
      <c r="F148" s="61">
        <v>43.5</v>
      </c>
      <c r="G148" s="61"/>
      <c r="H148" s="75"/>
      <c r="I148" s="76"/>
      <c r="J148" s="77"/>
      <c r="K148" s="77"/>
      <c r="L148" s="87"/>
      <c r="O148" s="59">
        <v>3474</v>
      </c>
      <c r="P148" s="60"/>
      <c r="Q148" s="61"/>
      <c r="R148" s="62">
        <v>417</v>
      </c>
      <c r="S148" s="61">
        <v>41.7</v>
      </c>
      <c r="T148" s="61">
        <v>350</v>
      </c>
      <c r="U148" s="63" t="s">
        <v>59</v>
      </c>
      <c r="V148" s="64"/>
      <c r="W148" s="65" t="s">
        <v>21</v>
      </c>
      <c r="X148" s="66"/>
      <c r="Y148" s="67">
        <f>T170</f>
        <v>3380</v>
      </c>
      <c r="AB148" s="69"/>
      <c r="AC148" s="70"/>
      <c r="AD148" s="85"/>
      <c r="AE148" s="70">
        <v>708</v>
      </c>
      <c r="AF148" s="70">
        <v>106.2</v>
      </c>
      <c r="AG148" s="70">
        <v>293</v>
      </c>
      <c r="AH148" s="72" t="s">
        <v>118</v>
      </c>
      <c r="AI148" s="73"/>
      <c r="AJ148" s="86"/>
      <c r="AK148" s="77"/>
      <c r="AL148" s="87"/>
      <c r="AO148" s="69"/>
      <c r="AP148" s="70"/>
      <c r="AQ148" s="85"/>
      <c r="AR148" s="70"/>
      <c r="AS148" s="70"/>
      <c r="AT148" s="70"/>
      <c r="AU148" s="72"/>
      <c r="AV148" s="73"/>
      <c r="AW148" s="58"/>
      <c r="AX148" s="58"/>
      <c r="AY148" s="58"/>
      <c r="BB148" s="69"/>
      <c r="BC148" s="70"/>
      <c r="BD148" s="85"/>
      <c r="BE148" s="70"/>
      <c r="BF148" s="70"/>
      <c r="BG148" s="70"/>
      <c r="BH148" s="72"/>
      <c r="BI148" s="73"/>
      <c r="BJ148" s="89" t="s">
        <v>44</v>
      </c>
      <c r="BK148" s="90" t="s">
        <v>45</v>
      </c>
      <c r="BL148" s="90" t="s">
        <v>46</v>
      </c>
    </row>
    <row r="149" ht="15.75" spans="2:64">
      <c r="B149" s="69"/>
      <c r="C149" s="70"/>
      <c r="D149" s="71"/>
      <c r="E149" s="70">
        <v>453</v>
      </c>
      <c r="F149" s="70">
        <v>67.95</v>
      </c>
      <c r="G149" s="70"/>
      <c r="H149" s="72"/>
      <c r="I149" s="73"/>
      <c r="J149" s="58"/>
      <c r="K149" s="58"/>
      <c r="L149" s="58"/>
      <c r="O149" s="69"/>
      <c r="P149" s="70">
        <v>206</v>
      </c>
      <c r="Q149" s="71">
        <v>24</v>
      </c>
      <c r="R149" s="70"/>
      <c r="S149" s="70"/>
      <c r="T149" s="70">
        <v>30</v>
      </c>
      <c r="U149" s="72" t="s">
        <v>29</v>
      </c>
      <c r="V149" s="73"/>
      <c r="W149" s="74" t="s">
        <v>26</v>
      </c>
      <c r="X149" s="57"/>
      <c r="Y149" s="49">
        <f>O170+Y146+Y147-Y148-R170-S170</f>
        <v>4135.5</v>
      </c>
      <c r="AB149" s="59"/>
      <c r="AC149" s="60">
        <v>142</v>
      </c>
      <c r="AD149" s="61"/>
      <c r="AE149" s="62"/>
      <c r="AF149" s="61"/>
      <c r="AG149" s="61">
        <v>734</v>
      </c>
      <c r="AH149" s="75" t="s">
        <v>39</v>
      </c>
      <c r="AI149" s="76"/>
      <c r="AJ149" s="77"/>
      <c r="AK149" s="58"/>
      <c r="AL149" s="58"/>
      <c r="AO149" s="59"/>
      <c r="AP149" s="60"/>
      <c r="AQ149" s="61"/>
      <c r="AR149" s="62"/>
      <c r="AS149" s="61"/>
      <c r="AT149" s="61"/>
      <c r="AU149" s="75"/>
      <c r="AV149" s="84"/>
      <c r="AW149" s="58"/>
      <c r="AX149" s="58"/>
      <c r="AY149" s="58"/>
      <c r="BB149" s="59"/>
      <c r="BC149" s="60"/>
      <c r="BD149" s="61"/>
      <c r="BE149" s="62"/>
      <c r="BF149" s="61"/>
      <c r="BG149" s="61"/>
      <c r="BH149" s="75"/>
      <c r="BI149" s="84"/>
      <c r="BJ149" s="92" t="s">
        <v>47</v>
      </c>
      <c r="BK149" s="93" t="s">
        <v>27</v>
      </c>
      <c r="BL149" s="93" t="s">
        <v>66</v>
      </c>
    </row>
    <row r="150" spans="2:64">
      <c r="B150" s="59"/>
      <c r="C150" s="60">
        <v>45</v>
      </c>
      <c r="D150" s="61"/>
      <c r="E150" s="62"/>
      <c r="F150" s="61"/>
      <c r="G150" s="61"/>
      <c r="H150" s="75"/>
      <c r="I150" s="76"/>
      <c r="J150" s="58"/>
      <c r="K150" s="58"/>
      <c r="L150" s="58"/>
      <c r="O150" s="59"/>
      <c r="P150" s="60">
        <v>462</v>
      </c>
      <c r="Q150" s="61">
        <v>18</v>
      </c>
      <c r="R150" s="62"/>
      <c r="S150" s="61"/>
      <c r="T150" s="61">
        <v>3000</v>
      </c>
      <c r="U150" s="75" t="s">
        <v>119</v>
      </c>
      <c r="V150" s="76"/>
      <c r="W150" s="77"/>
      <c r="X150" s="78" t="s">
        <v>30</v>
      </c>
      <c r="Y150" s="79">
        <f>Y147/4</f>
        <v>134.975</v>
      </c>
      <c r="AB150" s="69"/>
      <c r="AC150" s="70">
        <v>432</v>
      </c>
      <c r="AD150" s="71">
        <v>28</v>
      </c>
      <c r="AE150" s="70"/>
      <c r="AF150" s="70"/>
      <c r="AG150" s="70"/>
      <c r="AH150" s="72"/>
      <c r="AI150" s="73"/>
      <c r="AJ150" s="77"/>
      <c r="AK150" s="58"/>
      <c r="AL150" s="58"/>
      <c r="AO150" s="96"/>
      <c r="AP150" s="97"/>
      <c r="AQ150" s="98"/>
      <c r="AR150" s="99"/>
      <c r="AS150" s="98"/>
      <c r="AT150" s="98"/>
      <c r="AU150" s="72"/>
      <c r="AV150" s="73"/>
      <c r="BB150" s="69"/>
      <c r="BC150" s="70"/>
      <c r="BD150" s="85"/>
      <c r="BE150" s="70"/>
      <c r="BF150" s="70"/>
      <c r="BG150" s="70"/>
      <c r="BH150" s="72"/>
      <c r="BI150" s="73"/>
      <c r="BJ150" s="94" t="s">
        <v>52</v>
      </c>
      <c r="BK150" s="95" t="s">
        <v>48</v>
      </c>
      <c r="BL150" s="95" t="s">
        <v>65</v>
      </c>
    </row>
    <row r="151" spans="2:64">
      <c r="B151" s="69"/>
      <c r="C151" s="71">
        <v>268</v>
      </c>
      <c r="D151" s="71">
        <v>12</v>
      </c>
      <c r="E151" s="70"/>
      <c r="F151" s="70"/>
      <c r="G151" s="70"/>
      <c r="H151" s="72"/>
      <c r="I151" s="73"/>
      <c r="J151" s="58"/>
      <c r="K151" s="58"/>
      <c r="L151" s="58"/>
      <c r="O151" s="69"/>
      <c r="P151" s="70"/>
      <c r="Q151" s="71"/>
      <c r="R151" s="70">
        <v>580</v>
      </c>
      <c r="S151" s="70">
        <v>29</v>
      </c>
      <c r="T151" s="70"/>
      <c r="U151" s="72"/>
      <c r="V151" s="73"/>
      <c r="W151" s="77"/>
      <c r="X151" s="80" t="s">
        <v>34</v>
      </c>
      <c r="Y151" s="81">
        <f>Y147/6</f>
        <v>89.9833333333333</v>
      </c>
      <c r="AB151" s="59"/>
      <c r="AC151" s="60">
        <v>460</v>
      </c>
      <c r="AD151" s="88">
        <v>40</v>
      </c>
      <c r="AE151" s="62"/>
      <c r="AF151" s="61"/>
      <c r="AG151" s="61"/>
      <c r="AH151" s="75"/>
      <c r="AI151" s="76"/>
      <c r="AJ151" s="77"/>
      <c r="AK151" s="58"/>
      <c r="AL151" s="58"/>
      <c r="AO151" s="59"/>
      <c r="AP151" s="60"/>
      <c r="AQ151" s="61"/>
      <c r="AR151" s="62"/>
      <c r="AS151" s="61"/>
      <c r="AT151" s="61"/>
      <c r="AU151" s="75"/>
      <c r="AV151" s="76"/>
      <c r="BB151" s="59"/>
      <c r="BC151" s="60"/>
      <c r="BD151" s="61"/>
      <c r="BE151" s="62"/>
      <c r="BF151" s="61"/>
      <c r="BG151" s="61"/>
      <c r="BH151" s="75"/>
      <c r="BI151" s="84"/>
      <c r="BJ151" s="77"/>
      <c r="BK151" s="77"/>
      <c r="BL151" s="87"/>
    </row>
    <row r="152" spans="2:64">
      <c r="B152" s="59"/>
      <c r="C152" s="61"/>
      <c r="D152" s="61"/>
      <c r="E152" s="62"/>
      <c r="F152" s="61"/>
      <c r="G152" s="61"/>
      <c r="H152" s="75"/>
      <c r="I152" s="76"/>
      <c r="J152" s="58"/>
      <c r="K152" s="58"/>
      <c r="L152" s="58"/>
      <c r="O152" s="59"/>
      <c r="P152" s="60">
        <v>279</v>
      </c>
      <c r="Q152" s="61">
        <v>30</v>
      </c>
      <c r="R152" s="62"/>
      <c r="S152" s="61"/>
      <c r="T152" s="61"/>
      <c r="U152" s="75"/>
      <c r="V152" s="76"/>
      <c r="W152" s="77"/>
      <c r="X152" s="82" t="s">
        <v>37</v>
      </c>
      <c r="Y152" s="83">
        <f>Y147/8</f>
        <v>67.4875</v>
      </c>
      <c r="AB152" s="69"/>
      <c r="AC152" s="70"/>
      <c r="AD152" s="71"/>
      <c r="AE152" s="70"/>
      <c r="AF152" s="70"/>
      <c r="AG152" s="70"/>
      <c r="AH152" s="72"/>
      <c r="AI152" s="73"/>
      <c r="AJ152" s="89" t="s">
        <v>44</v>
      </c>
      <c r="AK152" s="90" t="s">
        <v>45</v>
      </c>
      <c r="AL152" s="90" t="s">
        <v>46</v>
      </c>
      <c r="AO152" s="96"/>
      <c r="AP152" s="97"/>
      <c r="AQ152" s="98"/>
      <c r="AR152" s="99"/>
      <c r="AS152" s="98"/>
      <c r="AT152" s="98"/>
      <c r="AU152" s="72"/>
      <c r="AV152" s="73"/>
      <c r="BB152" s="69"/>
      <c r="BC152" s="70"/>
      <c r="BD152" s="85"/>
      <c r="BE152" s="70"/>
      <c r="BF152" s="70"/>
      <c r="BG152" s="70"/>
      <c r="BH152" s="72"/>
      <c r="BI152" s="73"/>
      <c r="BJ152" s="58"/>
      <c r="BK152" s="58"/>
      <c r="BL152" s="58"/>
    </row>
    <row r="153" spans="2:64">
      <c r="B153" s="69"/>
      <c r="C153" s="70"/>
      <c r="D153" s="71"/>
      <c r="E153" s="70"/>
      <c r="F153" s="70"/>
      <c r="G153" s="70"/>
      <c r="H153" s="72"/>
      <c r="I153" s="73"/>
      <c r="J153" s="58"/>
      <c r="K153" s="58"/>
      <c r="L153" s="58"/>
      <c r="O153" s="69"/>
      <c r="P153" s="70"/>
      <c r="Q153" s="85"/>
      <c r="R153" s="70">
        <v>542</v>
      </c>
      <c r="S153" s="70">
        <v>54.2</v>
      </c>
      <c r="T153" s="70"/>
      <c r="U153" s="72"/>
      <c r="V153" s="73"/>
      <c r="W153" s="86"/>
      <c r="X153" s="77"/>
      <c r="Y153" s="87"/>
      <c r="AB153" s="59"/>
      <c r="AC153" s="60"/>
      <c r="AD153" s="61"/>
      <c r="AE153" s="62"/>
      <c r="AF153" s="61"/>
      <c r="AG153" s="61"/>
      <c r="AH153" s="75"/>
      <c r="AI153" s="76"/>
      <c r="AJ153" s="92" t="s">
        <v>47</v>
      </c>
      <c r="AK153" s="93" t="s">
        <v>48</v>
      </c>
      <c r="AL153" s="93" t="s">
        <v>65</v>
      </c>
      <c r="AO153" s="59"/>
      <c r="AP153" s="60"/>
      <c r="AQ153" s="61"/>
      <c r="AR153" s="62"/>
      <c r="AS153" s="61"/>
      <c r="AT153" s="61"/>
      <c r="AU153" s="75"/>
      <c r="AV153" s="76"/>
      <c r="BB153" s="59"/>
      <c r="BC153" s="60"/>
      <c r="BD153" s="61"/>
      <c r="BE153" s="62"/>
      <c r="BF153" s="61"/>
      <c r="BG153" s="61"/>
      <c r="BH153" s="75"/>
      <c r="BI153" s="84"/>
      <c r="BJ153" s="58"/>
      <c r="BK153" s="58"/>
      <c r="BL153" s="58"/>
    </row>
    <row r="154" ht="15.75" spans="2:64">
      <c r="B154" s="59"/>
      <c r="C154" s="60"/>
      <c r="D154" s="61"/>
      <c r="E154" s="62"/>
      <c r="F154" s="61"/>
      <c r="G154" s="61"/>
      <c r="H154" s="75"/>
      <c r="I154" s="76"/>
      <c r="J154" s="58"/>
      <c r="K154" s="58"/>
      <c r="L154" s="58"/>
      <c r="O154" s="59"/>
      <c r="P154" s="60">
        <v>208</v>
      </c>
      <c r="Q154" s="61"/>
      <c r="R154" s="62"/>
      <c r="S154" s="61"/>
      <c r="T154" s="61"/>
      <c r="U154" s="75"/>
      <c r="V154" s="76"/>
      <c r="W154" s="77"/>
      <c r="X154" s="58"/>
      <c r="Y154" s="58"/>
      <c r="AB154" s="69"/>
      <c r="AC154" s="70"/>
      <c r="AD154" s="71"/>
      <c r="AE154" s="70"/>
      <c r="AF154" s="70"/>
      <c r="AG154" s="70"/>
      <c r="AH154" s="72"/>
      <c r="AI154" s="73"/>
      <c r="AJ154" s="94" t="s">
        <v>52</v>
      </c>
      <c r="AK154" s="95" t="s">
        <v>27</v>
      </c>
      <c r="AL154" s="95" t="s">
        <v>43</v>
      </c>
      <c r="AO154" s="96"/>
      <c r="AP154" s="97"/>
      <c r="AQ154" s="98"/>
      <c r="AR154" s="99"/>
      <c r="AS154" s="98"/>
      <c r="AT154" s="98"/>
      <c r="AU154" s="72"/>
      <c r="AV154" s="73"/>
      <c r="BB154" s="96"/>
      <c r="BC154" s="97"/>
      <c r="BD154" s="98"/>
      <c r="BE154" s="99"/>
      <c r="BF154" s="98"/>
      <c r="BG154" s="98"/>
      <c r="BH154" s="72"/>
      <c r="BI154" s="73"/>
    </row>
    <row r="155" ht="15.75" spans="2:64">
      <c r="B155" s="96"/>
      <c r="C155" s="97"/>
      <c r="D155" s="98"/>
      <c r="E155" s="99"/>
      <c r="F155" s="98"/>
      <c r="G155" s="98"/>
      <c r="H155" s="72"/>
      <c r="I155" s="73"/>
      <c r="O155" s="69"/>
      <c r="P155" s="70">
        <v>721</v>
      </c>
      <c r="Q155" s="71">
        <v>31</v>
      </c>
      <c r="R155" s="70"/>
      <c r="S155" s="70"/>
      <c r="T155" s="70"/>
      <c r="U155" s="72"/>
      <c r="V155" s="73"/>
      <c r="W155" s="77"/>
      <c r="X155" s="58"/>
      <c r="Y155" s="58"/>
      <c r="AB155" s="59"/>
      <c r="AC155" s="60"/>
      <c r="AD155" s="61"/>
      <c r="AE155" s="62"/>
      <c r="AF155" s="61"/>
      <c r="AG155" s="61"/>
      <c r="AH155" s="75"/>
      <c r="AI155" s="76"/>
      <c r="AJ155" s="77"/>
      <c r="AK155" s="77"/>
      <c r="AL155" s="87"/>
      <c r="AO155" s="102">
        <f t="shared" ref="AO155:AT155" si="28">SUM(AO131:AO154)</f>
        <v>4565</v>
      </c>
      <c r="AP155" s="103">
        <f t="shared" si="28"/>
        <v>3664</v>
      </c>
      <c r="AQ155" s="104">
        <f t="shared" si="28"/>
        <v>360</v>
      </c>
      <c r="AR155" s="105">
        <f t="shared" si="28"/>
        <v>3973</v>
      </c>
      <c r="AS155" s="106">
        <f t="shared" si="28"/>
        <v>362.85</v>
      </c>
      <c r="AT155" s="107">
        <f t="shared" si="28"/>
        <v>5114.5</v>
      </c>
      <c r="AU155" s="108" t="s">
        <v>54</v>
      </c>
      <c r="AV155" s="109"/>
      <c r="BB155" s="59"/>
      <c r="BC155" s="60"/>
      <c r="BD155" s="61"/>
      <c r="BE155" s="62"/>
      <c r="BF155" s="61"/>
      <c r="BG155" s="61"/>
      <c r="BH155" s="75"/>
      <c r="BI155" s="76"/>
    </row>
    <row r="156" ht="15.75" spans="2:64">
      <c r="B156" s="59"/>
      <c r="C156" s="60"/>
      <c r="D156" s="61"/>
      <c r="E156" s="62"/>
      <c r="F156" s="61"/>
      <c r="G156" s="61"/>
      <c r="H156" s="75"/>
      <c r="I156" s="76"/>
      <c r="O156" s="59"/>
      <c r="P156" s="60">
        <v>464</v>
      </c>
      <c r="Q156" s="88">
        <v>16</v>
      </c>
      <c r="R156" s="62"/>
      <c r="S156" s="61"/>
      <c r="T156" s="61"/>
      <c r="U156" s="75"/>
      <c r="V156" s="76"/>
      <c r="W156" s="77"/>
      <c r="X156" s="58"/>
      <c r="Y156" s="58"/>
      <c r="AB156" s="69"/>
      <c r="AC156" s="70"/>
      <c r="AD156" s="71"/>
      <c r="AE156" s="70"/>
      <c r="AF156" s="70"/>
      <c r="AG156" s="70"/>
      <c r="AH156" s="72"/>
      <c r="AI156" s="73"/>
      <c r="AJ156" s="58"/>
      <c r="AK156" s="58"/>
      <c r="AL156" s="58"/>
      <c r="BB156" s="96"/>
      <c r="BC156" s="97"/>
      <c r="BD156" s="98"/>
      <c r="BE156" s="99"/>
      <c r="BF156" s="98"/>
      <c r="BG156" s="98"/>
      <c r="BH156" s="72"/>
      <c r="BI156" s="73"/>
    </row>
    <row r="157" ht="15.75" spans="2:64">
      <c r="B157" s="96"/>
      <c r="C157" s="97"/>
      <c r="D157" s="98"/>
      <c r="E157" s="99"/>
      <c r="F157" s="98"/>
      <c r="G157" s="98"/>
      <c r="H157" s="114"/>
      <c r="I157" s="115"/>
      <c r="O157" s="69"/>
      <c r="P157" s="70">
        <v>194</v>
      </c>
      <c r="Q157" s="71">
        <v>26</v>
      </c>
      <c r="R157" s="70"/>
      <c r="S157" s="70"/>
      <c r="T157" s="70"/>
      <c r="U157" s="72"/>
      <c r="V157" s="73"/>
      <c r="W157" s="89" t="s">
        <v>44</v>
      </c>
      <c r="X157" s="90" t="s">
        <v>45</v>
      </c>
      <c r="Y157" s="90" t="s">
        <v>46</v>
      </c>
      <c r="AB157" s="59"/>
      <c r="AC157" s="60"/>
      <c r="AD157" s="61"/>
      <c r="AE157" s="62"/>
      <c r="AF157" s="61"/>
      <c r="AG157" s="61"/>
      <c r="AH157" s="75"/>
      <c r="AI157" s="76"/>
      <c r="BB157" s="102">
        <f t="shared" ref="BB157:BG157" si="29">SUM(BB139:BB156)</f>
        <v>565</v>
      </c>
      <c r="BC157" s="103">
        <f t="shared" si="29"/>
        <v>1000</v>
      </c>
      <c r="BD157" s="104">
        <f t="shared" si="29"/>
        <v>105</v>
      </c>
      <c r="BE157" s="105">
        <f t="shared" si="29"/>
        <v>1632</v>
      </c>
      <c r="BF157" s="106">
        <f t="shared" si="29"/>
        <v>137.9</v>
      </c>
      <c r="BG157" s="107">
        <f t="shared" si="29"/>
        <v>390</v>
      </c>
      <c r="BH157" s="108" t="s">
        <v>54</v>
      </c>
      <c r="BI157" s="109"/>
    </row>
    <row r="158" spans="2:64">
      <c r="B158" s="59"/>
      <c r="C158" s="60"/>
      <c r="D158" s="61"/>
      <c r="E158" s="62"/>
      <c r="F158" s="61"/>
      <c r="G158" s="61"/>
      <c r="H158" s="75"/>
      <c r="I158" s="76"/>
      <c r="O158" s="59"/>
      <c r="P158" s="60">
        <v>104</v>
      </c>
      <c r="Q158" s="61">
        <v>16</v>
      </c>
      <c r="R158" s="62"/>
      <c r="S158" s="61"/>
      <c r="T158" s="61"/>
      <c r="U158" s="75"/>
      <c r="V158" s="76"/>
      <c r="W158" s="92" t="s">
        <v>47</v>
      </c>
      <c r="X158" s="93" t="s">
        <v>48</v>
      </c>
      <c r="Y158" s="93" t="s">
        <v>65</v>
      </c>
      <c r="AB158" s="69"/>
      <c r="AC158" s="70"/>
      <c r="AD158" s="71"/>
      <c r="AE158" s="70"/>
      <c r="AF158" s="70"/>
      <c r="AG158" s="70"/>
      <c r="AH158" s="72"/>
      <c r="AI158" s="73"/>
      <c r="AO158" s="33" t="s">
        <v>120</v>
      </c>
      <c r="AP158" s="34"/>
      <c r="AQ158" s="34"/>
      <c r="AR158" s="34"/>
      <c r="AS158" s="34"/>
      <c r="AT158" s="34"/>
      <c r="AU158" s="34"/>
      <c r="AV158" s="34"/>
      <c r="AW158" s="34"/>
      <c r="AX158" s="34"/>
      <c r="AY158" s="35"/>
    </row>
    <row r="159" ht="15.75" spans="2:64">
      <c r="B159" s="69"/>
      <c r="C159" s="112"/>
      <c r="D159" s="71"/>
      <c r="E159" s="58"/>
      <c r="F159" s="70"/>
      <c r="G159" s="70"/>
      <c r="H159" s="72"/>
      <c r="I159" s="73"/>
      <c r="O159" s="69"/>
      <c r="P159" s="70">
        <v>202</v>
      </c>
      <c r="Q159" s="71">
        <v>30</v>
      </c>
      <c r="R159" s="70"/>
      <c r="S159" s="70"/>
      <c r="T159" s="70"/>
      <c r="U159" s="72"/>
      <c r="V159" s="73"/>
      <c r="W159" s="94" t="s">
        <v>52</v>
      </c>
      <c r="X159" s="95" t="s">
        <v>27</v>
      </c>
      <c r="Y159" s="95" t="s">
        <v>43</v>
      </c>
      <c r="AB159" s="59"/>
      <c r="AC159" s="60"/>
      <c r="AD159" s="61"/>
      <c r="AE159" s="62"/>
      <c r="AF159" s="61"/>
      <c r="AG159" s="61"/>
      <c r="AH159" s="75"/>
      <c r="AI159" s="76"/>
      <c r="AO159" s="36"/>
      <c r="AP159" s="37"/>
      <c r="AQ159" s="37"/>
      <c r="AR159" s="37"/>
      <c r="AS159" s="37"/>
      <c r="AT159" s="37"/>
      <c r="AU159" s="37"/>
      <c r="AV159" s="37"/>
      <c r="AW159" s="37"/>
      <c r="AX159" s="37"/>
      <c r="AY159" s="38"/>
    </row>
    <row r="160" ht="15.75" spans="2:64">
      <c r="B160" s="59"/>
      <c r="C160" s="60"/>
      <c r="D160" s="61"/>
      <c r="E160" s="62"/>
      <c r="F160" s="61"/>
      <c r="G160" s="61"/>
      <c r="H160" s="75"/>
      <c r="I160" s="76"/>
      <c r="O160" s="59"/>
      <c r="P160" s="60"/>
      <c r="Q160" s="61">
        <v>70</v>
      </c>
      <c r="R160" s="62">
        <v>653</v>
      </c>
      <c r="S160" s="61"/>
      <c r="T160" s="61"/>
      <c r="U160" s="75"/>
      <c r="V160" s="76"/>
      <c r="W160" s="77"/>
      <c r="X160" s="77"/>
      <c r="Y160" s="87"/>
      <c r="AB160" s="102">
        <f t="shared" ref="AB160:AG160" si="30">SUM(AB143:AB159)</f>
        <v>3473</v>
      </c>
      <c r="AC160" s="103">
        <f t="shared" si="30"/>
        <v>2066</v>
      </c>
      <c r="AD160" s="104">
        <f t="shared" si="30"/>
        <v>108</v>
      </c>
      <c r="AE160" s="105">
        <f t="shared" si="30"/>
        <v>1213</v>
      </c>
      <c r="AF160" s="106">
        <f t="shared" si="30"/>
        <v>144</v>
      </c>
      <c r="AG160" s="107">
        <f t="shared" si="30"/>
        <v>2660.47</v>
      </c>
      <c r="AH160" s="108" t="s">
        <v>54</v>
      </c>
      <c r="AI160" s="109"/>
      <c r="AO160" s="39" t="s">
        <v>12</v>
      </c>
      <c r="AP160" s="40" t="s">
        <v>13</v>
      </c>
      <c r="AQ160" s="41"/>
      <c r="AR160" s="42" t="s">
        <v>14</v>
      </c>
      <c r="AS160" s="43"/>
      <c r="AT160" s="44" t="s">
        <v>15</v>
      </c>
      <c r="AU160" s="45"/>
      <c r="AV160" s="46"/>
      <c r="AW160" s="47" t="s">
        <v>16</v>
      </c>
      <c r="AX160" s="48"/>
      <c r="AY160" s="49">
        <f>AP183+AR183</f>
        <v>5291</v>
      </c>
      <c r="BB160" s="33" t="s">
        <v>121</v>
      </c>
      <c r="BC160" s="34"/>
      <c r="BD160" s="34"/>
      <c r="BE160" s="34"/>
      <c r="BF160" s="34"/>
      <c r="BG160" s="34"/>
      <c r="BH160" s="34"/>
      <c r="BI160" s="34"/>
      <c r="BJ160" s="34"/>
      <c r="BK160" s="34"/>
      <c r="BL160" s="35"/>
    </row>
    <row r="161" ht="15.75" spans="2:64">
      <c r="B161" s="96"/>
      <c r="C161" s="97"/>
      <c r="D161" s="98"/>
      <c r="E161" s="99"/>
      <c r="F161" s="98"/>
      <c r="G161" s="98"/>
      <c r="H161" s="72"/>
      <c r="I161" s="73"/>
      <c r="O161" s="69"/>
      <c r="P161" s="70"/>
      <c r="Q161" s="71"/>
      <c r="R161" s="70">
        <v>646</v>
      </c>
      <c r="S161" s="70">
        <v>64.6</v>
      </c>
      <c r="T161" s="70"/>
      <c r="U161" s="72"/>
      <c r="V161" s="73"/>
      <c r="W161" s="58"/>
      <c r="X161" s="58"/>
      <c r="Y161" s="58"/>
      <c r="AO161" s="50"/>
      <c r="AP161" s="51" t="s">
        <v>17</v>
      </c>
      <c r="AQ161" s="51" t="s">
        <v>18</v>
      </c>
      <c r="AR161" s="52" t="s">
        <v>17</v>
      </c>
      <c r="AS161" s="52" t="s">
        <v>18</v>
      </c>
      <c r="AT161" s="53"/>
      <c r="AU161" s="54"/>
      <c r="AV161" s="55"/>
      <c r="AW161" s="56" t="s">
        <v>19</v>
      </c>
      <c r="AX161" s="57"/>
      <c r="AY161" s="49">
        <f>AQ183+AS183</f>
        <v>461.5</v>
      </c>
      <c r="BB161" s="36"/>
      <c r="BC161" s="37"/>
      <c r="BD161" s="37"/>
      <c r="BE161" s="37"/>
      <c r="BF161" s="37"/>
      <c r="BG161" s="37"/>
      <c r="BH161" s="37"/>
      <c r="BI161" s="37"/>
      <c r="BJ161" s="37"/>
      <c r="BK161" s="37"/>
      <c r="BL161" s="38"/>
    </row>
    <row r="162" ht="15.75" spans="2:64">
      <c r="B162" s="59"/>
      <c r="C162" s="60"/>
      <c r="D162" s="61"/>
      <c r="E162" s="62"/>
      <c r="F162" s="61"/>
      <c r="G162" s="61"/>
      <c r="H162" s="75"/>
      <c r="I162" s="76"/>
      <c r="O162" s="59"/>
      <c r="P162" s="60">
        <v>8</v>
      </c>
      <c r="Q162" s="61"/>
      <c r="R162" s="62"/>
      <c r="S162" s="61"/>
      <c r="T162" s="61"/>
      <c r="U162" s="75"/>
      <c r="V162" s="76"/>
      <c r="W162" s="58"/>
      <c r="X162" s="58"/>
      <c r="Y162" s="58"/>
      <c r="AO162" s="59">
        <v>3474</v>
      </c>
      <c r="AP162" s="68"/>
      <c r="AQ162" s="61"/>
      <c r="AR162" s="62">
        <v>516</v>
      </c>
      <c r="AS162" s="61">
        <v>51.6</v>
      </c>
      <c r="AT162" s="61">
        <v>1000</v>
      </c>
      <c r="AU162" s="63" t="s">
        <v>122</v>
      </c>
      <c r="AV162" s="64"/>
      <c r="AW162" s="65" t="s">
        <v>21</v>
      </c>
      <c r="AX162" s="66"/>
      <c r="AY162" s="67">
        <f>AT183</f>
        <v>4199.5</v>
      </c>
      <c r="BB162" s="39" t="s">
        <v>12</v>
      </c>
      <c r="BC162" s="40" t="s">
        <v>13</v>
      </c>
      <c r="BD162" s="41"/>
      <c r="BE162" s="42" t="s">
        <v>14</v>
      </c>
      <c r="BF162" s="43"/>
      <c r="BG162" s="44" t="s">
        <v>15</v>
      </c>
      <c r="BH162" s="45"/>
      <c r="BI162" s="46"/>
      <c r="BJ162" s="47" t="s">
        <v>16</v>
      </c>
      <c r="BK162" s="48"/>
      <c r="BL162" s="49">
        <f>BC183+BE183</f>
        <v>2619</v>
      </c>
    </row>
    <row r="163" ht="15.75" spans="2:64">
      <c r="B163" s="69"/>
      <c r="C163" s="112"/>
      <c r="D163" s="71"/>
      <c r="E163" s="58"/>
      <c r="F163" s="70"/>
      <c r="G163" s="70"/>
      <c r="H163" s="72"/>
      <c r="I163" s="73"/>
      <c r="O163" s="69"/>
      <c r="P163" s="71">
        <v>230</v>
      </c>
      <c r="Q163" s="71"/>
      <c r="R163" s="70"/>
      <c r="S163" s="70"/>
      <c r="T163" s="70"/>
      <c r="U163" s="72"/>
      <c r="V163" s="73"/>
      <c r="W163" s="58"/>
      <c r="X163" s="58"/>
      <c r="Y163" s="58"/>
      <c r="AB163" s="33" t="s">
        <v>123</v>
      </c>
      <c r="AC163" s="34"/>
      <c r="AD163" s="34"/>
      <c r="AE163" s="34"/>
      <c r="AF163" s="34"/>
      <c r="AG163" s="34"/>
      <c r="AH163" s="34"/>
      <c r="AI163" s="34"/>
      <c r="AJ163" s="34"/>
      <c r="AK163" s="34"/>
      <c r="AL163" s="35"/>
      <c r="AO163" s="69"/>
      <c r="AP163" s="70">
        <v>25</v>
      </c>
      <c r="AQ163" s="71"/>
      <c r="AR163" s="70"/>
      <c r="AS163" s="70"/>
      <c r="AT163" s="70">
        <v>31.5</v>
      </c>
      <c r="AU163" s="72" t="s">
        <v>29</v>
      </c>
      <c r="AV163" s="73"/>
      <c r="AW163" s="74" t="s">
        <v>26</v>
      </c>
      <c r="AX163" s="57"/>
      <c r="AY163" s="49">
        <f>AO183+AY160+AY161-AY162-AR183-AS183</f>
        <v>2106.5</v>
      </c>
      <c r="BB163" s="50"/>
      <c r="BC163" s="51" t="s">
        <v>17</v>
      </c>
      <c r="BD163" s="51" t="s">
        <v>18</v>
      </c>
      <c r="BE163" s="52" t="s">
        <v>17</v>
      </c>
      <c r="BF163" s="52" t="s">
        <v>18</v>
      </c>
      <c r="BG163" s="53"/>
      <c r="BH163" s="54"/>
      <c r="BI163" s="55"/>
      <c r="BJ163" s="56" t="s">
        <v>19</v>
      </c>
      <c r="BK163" s="57"/>
      <c r="BL163" s="49">
        <f>BD183+BF183</f>
        <v>57</v>
      </c>
    </row>
    <row r="164" ht="15.75" spans="2:64">
      <c r="B164" s="102">
        <f t="shared" ref="B164:G164" si="31">SUM(B136:B163)</f>
        <v>5485</v>
      </c>
      <c r="C164" s="103">
        <f t="shared" si="31"/>
        <v>1374</v>
      </c>
      <c r="D164" s="104">
        <f t="shared" si="31"/>
        <v>201</v>
      </c>
      <c r="E164" s="105">
        <f t="shared" si="31"/>
        <v>4290</v>
      </c>
      <c r="F164" s="106">
        <f t="shared" si="31"/>
        <v>351.75</v>
      </c>
      <c r="G164" s="107">
        <f t="shared" si="31"/>
        <v>4187</v>
      </c>
      <c r="H164" s="108" t="s">
        <v>54</v>
      </c>
      <c r="I164" s="109"/>
      <c r="O164" s="59"/>
      <c r="P164" s="61">
        <v>306</v>
      </c>
      <c r="Q164" s="61">
        <v>9</v>
      </c>
      <c r="R164" s="62"/>
      <c r="S164" s="61"/>
      <c r="T164" s="61"/>
      <c r="U164" s="75"/>
      <c r="V164" s="76"/>
      <c r="W164" s="58"/>
      <c r="X164" s="58"/>
      <c r="Y164" s="58"/>
      <c r="AB164" s="36"/>
      <c r="AC164" s="37"/>
      <c r="AD164" s="37"/>
      <c r="AE164" s="37"/>
      <c r="AF164" s="37"/>
      <c r="AG164" s="37"/>
      <c r="AH164" s="37"/>
      <c r="AI164" s="37"/>
      <c r="AJ164" s="37"/>
      <c r="AK164" s="37"/>
      <c r="AL164" s="38"/>
      <c r="AO164" s="59"/>
      <c r="AP164" s="60">
        <v>314</v>
      </c>
      <c r="AQ164" s="61">
        <v>30</v>
      </c>
      <c r="AR164" s="62"/>
      <c r="AS164" s="61"/>
      <c r="AT164" s="61">
        <v>110</v>
      </c>
      <c r="AU164" s="75" t="s">
        <v>124</v>
      </c>
      <c r="AV164" s="76"/>
      <c r="AW164" s="77"/>
      <c r="AX164" s="78" t="s">
        <v>30</v>
      </c>
      <c r="AY164" s="79">
        <f>AY161/4</f>
        <v>115.375</v>
      </c>
      <c r="BB164" s="59">
        <v>577</v>
      </c>
      <c r="BC164" s="68"/>
      <c r="BD164" s="61"/>
      <c r="BE164" s="62">
        <v>374</v>
      </c>
      <c r="BF164" s="61">
        <v>40</v>
      </c>
      <c r="BG164" s="61">
        <v>25</v>
      </c>
      <c r="BH164" s="63" t="s">
        <v>29</v>
      </c>
      <c r="BI164" s="64"/>
      <c r="BJ164" s="65" t="s">
        <v>21</v>
      </c>
      <c r="BK164" s="66"/>
      <c r="BL164" s="67">
        <f>BG183</f>
        <v>75</v>
      </c>
    </row>
    <row r="165" ht="15.75" spans="2:64">
      <c r="O165" s="69"/>
      <c r="P165" s="71"/>
      <c r="Q165" s="71"/>
      <c r="R165" s="70">
        <v>569</v>
      </c>
      <c r="S165" s="70">
        <v>56.9</v>
      </c>
      <c r="T165" s="70"/>
      <c r="U165" s="72"/>
      <c r="V165" s="73"/>
      <c r="W165" s="58"/>
      <c r="X165" s="58"/>
      <c r="Y165" s="58"/>
      <c r="AB165" s="39" t="s">
        <v>12</v>
      </c>
      <c r="AC165" s="40" t="s">
        <v>13</v>
      </c>
      <c r="AD165" s="41"/>
      <c r="AE165" s="42" t="s">
        <v>14</v>
      </c>
      <c r="AF165" s="43"/>
      <c r="AG165" s="44" t="s">
        <v>15</v>
      </c>
      <c r="AH165" s="45"/>
      <c r="AI165" s="46"/>
      <c r="AJ165" s="47" t="s">
        <v>16</v>
      </c>
      <c r="AK165" s="48"/>
      <c r="AL165" s="49">
        <f>AC189+AE189</f>
        <v>8110</v>
      </c>
      <c r="AO165" s="69"/>
      <c r="AP165" s="70">
        <v>129</v>
      </c>
      <c r="AQ165" s="71"/>
      <c r="AR165" s="70"/>
      <c r="AS165" s="70"/>
      <c r="AT165" s="70">
        <v>30</v>
      </c>
      <c r="AU165" s="72" t="s">
        <v>60</v>
      </c>
      <c r="AV165" s="73"/>
      <c r="AW165" s="77"/>
      <c r="AX165" s="80" t="s">
        <v>34</v>
      </c>
      <c r="AY165" s="81">
        <f>AY161/6</f>
        <v>76.9166666666667</v>
      </c>
      <c r="BB165" s="69"/>
      <c r="BC165" s="70"/>
      <c r="BD165" s="71"/>
      <c r="BE165" s="70">
        <v>227</v>
      </c>
      <c r="BF165" s="70"/>
      <c r="BG165" s="70">
        <v>50</v>
      </c>
      <c r="BH165" s="72" t="s">
        <v>77</v>
      </c>
      <c r="BI165" s="73"/>
      <c r="BJ165" s="74" t="s">
        <v>26</v>
      </c>
      <c r="BK165" s="57"/>
      <c r="BL165" s="49">
        <f>BB183+BL162+BL163-BL164-BE183-BF183</f>
        <v>865</v>
      </c>
    </row>
    <row r="166" ht="15.75" spans="2:64">
      <c r="O166" s="59"/>
      <c r="P166" s="61"/>
      <c r="Q166" s="61"/>
      <c r="R166" s="62">
        <v>170</v>
      </c>
      <c r="S166" s="61"/>
      <c r="T166" s="61"/>
      <c r="U166" s="75"/>
      <c r="V166" s="76"/>
      <c r="W166" s="58"/>
      <c r="X166" s="58"/>
      <c r="Y166" s="58"/>
      <c r="AB166" s="50"/>
      <c r="AC166" s="51" t="s">
        <v>17</v>
      </c>
      <c r="AD166" s="51" t="s">
        <v>18</v>
      </c>
      <c r="AE166" s="52" t="s">
        <v>17</v>
      </c>
      <c r="AF166" s="52" t="s">
        <v>18</v>
      </c>
      <c r="AG166" s="53"/>
      <c r="AH166" s="54"/>
      <c r="AI166" s="55"/>
      <c r="AJ166" s="56" t="s">
        <v>19</v>
      </c>
      <c r="AK166" s="57"/>
      <c r="AL166" s="49">
        <f>AD189+AF189</f>
        <v>781.75</v>
      </c>
      <c r="AO166" s="59"/>
      <c r="AP166" s="60">
        <v>594</v>
      </c>
      <c r="AQ166" s="61">
        <v>26</v>
      </c>
      <c r="AR166" s="62"/>
      <c r="AS166" s="61"/>
      <c r="AT166" s="61">
        <v>2908</v>
      </c>
      <c r="AU166" s="75" t="s">
        <v>48</v>
      </c>
      <c r="AV166" s="84"/>
      <c r="AW166" s="77"/>
      <c r="AX166" s="82" t="s">
        <v>37</v>
      </c>
      <c r="AY166" s="83">
        <f>AY161/8</f>
        <v>57.6875</v>
      </c>
      <c r="BB166" s="59"/>
      <c r="BC166" s="60">
        <v>170</v>
      </c>
      <c r="BD166" s="61">
        <v>17</v>
      </c>
      <c r="BE166" s="62" t="s">
        <v>125</v>
      </c>
      <c r="BF166" s="61"/>
      <c r="BG166" s="61"/>
      <c r="BH166" s="75"/>
      <c r="BI166" s="76"/>
      <c r="BJ166" s="77"/>
      <c r="BK166" s="78" t="s">
        <v>30</v>
      </c>
      <c r="BL166" s="79">
        <f>BL163/4</f>
        <v>14.25</v>
      </c>
    </row>
    <row r="167" ht="15.75" spans="2:64">
      <c r="B167" s="33" t="s">
        <v>126</v>
      </c>
      <c r="C167" s="34"/>
      <c r="D167" s="34"/>
      <c r="E167" s="34"/>
      <c r="F167" s="34"/>
      <c r="G167" s="34"/>
      <c r="H167" s="34"/>
      <c r="I167" s="34"/>
      <c r="J167" s="34"/>
      <c r="K167" s="34"/>
      <c r="L167" s="35"/>
      <c r="O167" s="69"/>
      <c r="P167" s="71">
        <v>364</v>
      </c>
      <c r="Q167" s="71">
        <v>23.5</v>
      </c>
      <c r="R167" s="70"/>
      <c r="S167" s="70"/>
      <c r="T167" s="70"/>
      <c r="U167" s="72"/>
      <c r="V167" s="73"/>
      <c r="W167" s="58"/>
      <c r="AB167" s="59">
        <v>2986</v>
      </c>
      <c r="AC167" s="60">
        <v>723</v>
      </c>
      <c r="AD167" s="61">
        <v>15</v>
      </c>
      <c r="AE167" s="62"/>
      <c r="AF167" s="61"/>
      <c r="AG167" s="61">
        <v>244</v>
      </c>
      <c r="AH167" s="63" t="s">
        <v>22</v>
      </c>
      <c r="AI167" s="64"/>
      <c r="AJ167" s="65" t="s">
        <v>21</v>
      </c>
      <c r="AK167" s="66"/>
      <c r="AL167" s="67">
        <f>AG189</f>
        <v>4664</v>
      </c>
      <c r="AO167" s="69"/>
      <c r="AP167" s="70">
        <v>908</v>
      </c>
      <c r="AQ167" s="85">
        <v>92</v>
      </c>
      <c r="AR167" s="70"/>
      <c r="AS167" s="70"/>
      <c r="AT167" s="70">
        <v>120</v>
      </c>
      <c r="AU167" s="72" t="s">
        <v>127</v>
      </c>
      <c r="AV167" s="73"/>
      <c r="AW167" s="86"/>
      <c r="AX167" s="77"/>
      <c r="AY167" s="87"/>
      <c r="BB167" s="69"/>
      <c r="BC167" s="70">
        <v>176</v>
      </c>
      <c r="BD167" s="71"/>
      <c r="BE167" s="70"/>
      <c r="BF167" s="70"/>
      <c r="BG167" s="70"/>
      <c r="BH167" s="72"/>
      <c r="BI167" s="73"/>
      <c r="BJ167" s="77"/>
      <c r="BK167" s="80" t="s">
        <v>34</v>
      </c>
      <c r="BL167" s="81">
        <f>BL163/6</f>
        <v>9.5</v>
      </c>
    </row>
    <row r="168" ht="15.75" spans="2:64">
      <c r="B168" s="36"/>
      <c r="C168" s="37"/>
      <c r="D168" s="37"/>
      <c r="E168" s="37"/>
      <c r="F168" s="37"/>
      <c r="G168" s="37"/>
      <c r="H168" s="37"/>
      <c r="I168" s="37"/>
      <c r="J168" s="37"/>
      <c r="K168" s="37"/>
      <c r="L168" s="38"/>
      <c r="O168" s="59"/>
      <c r="P168" s="61"/>
      <c r="Q168" s="61"/>
      <c r="R168" s="62"/>
      <c r="S168" s="61"/>
      <c r="T168" s="61"/>
      <c r="U168" s="75"/>
      <c r="V168" s="76"/>
      <c r="W168" s="58"/>
      <c r="AB168" s="69"/>
      <c r="AC168" s="70"/>
      <c r="AD168" s="71"/>
      <c r="AE168" s="70">
        <v>394</v>
      </c>
      <c r="AF168" s="70">
        <v>39.4</v>
      </c>
      <c r="AG168" s="70">
        <v>390</v>
      </c>
      <c r="AH168" s="72" t="s">
        <v>24</v>
      </c>
      <c r="AI168" s="73"/>
      <c r="AJ168" s="74" t="s">
        <v>26</v>
      </c>
      <c r="AK168" s="57"/>
      <c r="AL168" s="49">
        <f>AB189+AL165+AL166-AL167-AE189-AF189</f>
        <v>2609</v>
      </c>
      <c r="AO168" s="59"/>
      <c r="AP168" s="60"/>
      <c r="AQ168" s="61"/>
      <c r="AR168" s="62">
        <v>1136</v>
      </c>
      <c r="AS168" s="61">
        <v>113.6</v>
      </c>
      <c r="AT168" s="61"/>
      <c r="AU168" s="75"/>
      <c r="AV168" s="84"/>
      <c r="AW168" s="77"/>
      <c r="AX168" s="58"/>
      <c r="AY168" s="58"/>
      <c r="BB168" s="59"/>
      <c r="BC168" s="60"/>
      <c r="BD168" s="61"/>
      <c r="BE168" s="62">
        <v>470</v>
      </c>
      <c r="BF168" s="61"/>
      <c r="BG168" s="61"/>
      <c r="BH168" s="75"/>
      <c r="BI168" s="84"/>
      <c r="BJ168" s="77"/>
      <c r="BK168" s="82" t="s">
        <v>37</v>
      </c>
      <c r="BL168" s="83">
        <f>BL163/8</f>
        <v>7.125</v>
      </c>
    </row>
    <row r="169" ht="15.75" spans="2:64">
      <c r="B169" s="39" t="s">
        <v>12</v>
      </c>
      <c r="C169" s="40" t="s">
        <v>13</v>
      </c>
      <c r="D169" s="41"/>
      <c r="E169" s="42" t="s">
        <v>14</v>
      </c>
      <c r="F169" s="43"/>
      <c r="G169" s="44" t="s">
        <v>15</v>
      </c>
      <c r="H169" s="45"/>
      <c r="I169" s="46"/>
      <c r="J169" s="47" t="s">
        <v>16</v>
      </c>
      <c r="K169" s="48"/>
      <c r="L169" s="49">
        <f>C189+E189</f>
        <v>1909</v>
      </c>
      <c r="O169" s="96"/>
      <c r="P169" s="97"/>
      <c r="Q169" s="98"/>
      <c r="R169" s="99"/>
      <c r="S169" s="98"/>
      <c r="T169" s="98"/>
      <c r="U169" s="100"/>
      <c r="V169" s="101"/>
      <c r="AB169" s="59"/>
      <c r="AC169" s="60">
        <v>367</v>
      </c>
      <c r="AD169" s="61">
        <v>33</v>
      </c>
      <c r="AE169" s="62"/>
      <c r="AF169" s="61"/>
      <c r="AG169" s="61">
        <v>30</v>
      </c>
      <c r="AH169" s="75" t="s">
        <v>29</v>
      </c>
      <c r="AI169" s="76"/>
      <c r="AJ169" s="77"/>
      <c r="AK169" s="78" t="s">
        <v>30</v>
      </c>
      <c r="AL169" s="79">
        <f>AL166/4</f>
        <v>195.4375</v>
      </c>
      <c r="AO169" s="69"/>
      <c r="AP169" s="70"/>
      <c r="AQ169" s="85"/>
      <c r="AR169" s="70">
        <v>230</v>
      </c>
      <c r="AS169" s="70">
        <v>23</v>
      </c>
      <c r="AT169" s="70"/>
      <c r="AU169" s="72"/>
      <c r="AV169" s="73"/>
      <c r="AW169" s="77"/>
      <c r="AX169" s="58"/>
      <c r="AY169" s="58"/>
      <c r="BB169" s="69"/>
      <c r="BC169" s="70"/>
      <c r="BD169" s="85"/>
      <c r="BE169" s="70">
        <v>516</v>
      </c>
      <c r="BF169" s="70"/>
      <c r="BG169" s="70"/>
      <c r="BH169" s="72"/>
      <c r="BI169" s="73"/>
      <c r="BJ169" s="86"/>
      <c r="BK169" s="77"/>
      <c r="BL169" s="87"/>
    </row>
    <row r="170" ht="15.75" spans="2:64">
      <c r="B170" s="50"/>
      <c r="C170" s="51" t="s">
        <v>17</v>
      </c>
      <c r="D170" s="51" t="s">
        <v>18</v>
      </c>
      <c r="E170" s="52" t="s">
        <v>17</v>
      </c>
      <c r="F170" s="52" t="s">
        <v>18</v>
      </c>
      <c r="G170" s="53"/>
      <c r="H170" s="54"/>
      <c r="I170" s="55"/>
      <c r="J170" s="56" t="s">
        <v>19</v>
      </c>
      <c r="K170" s="57"/>
      <c r="L170" s="49">
        <f>D189+F189</f>
        <v>227.25</v>
      </c>
      <c r="O170" s="102">
        <f t="shared" ref="O170:T170" si="32">SUM(O148:O169)</f>
        <v>3474</v>
      </c>
      <c r="P170" s="103">
        <f t="shared" si="32"/>
        <v>3748</v>
      </c>
      <c r="Q170" s="104">
        <f t="shared" si="32"/>
        <v>293.5</v>
      </c>
      <c r="R170" s="105">
        <f t="shared" si="32"/>
        <v>3577</v>
      </c>
      <c r="S170" s="106">
        <f t="shared" si="32"/>
        <v>246.4</v>
      </c>
      <c r="T170" s="107">
        <f t="shared" si="32"/>
        <v>3380</v>
      </c>
      <c r="U170" s="108" t="s">
        <v>54</v>
      </c>
      <c r="V170" s="109"/>
      <c r="AB170" s="69"/>
      <c r="AC170" s="70"/>
      <c r="AD170" s="71"/>
      <c r="AE170" s="70">
        <v>436</v>
      </c>
      <c r="AF170" s="70">
        <v>43.6</v>
      </c>
      <c r="AG170" s="70">
        <v>4000</v>
      </c>
      <c r="AH170" s="72" t="s">
        <v>66</v>
      </c>
      <c r="AI170" s="73"/>
      <c r="AJ170" s="77"/>
      <c r="AK170" s="80" t="s">
        <v>34</v>
      </c>
      <c r="AL170" s="81">
        <f>AL166/6</f>
        <v>130.291666666667</v>
      </c>
      <c r="AO170" s="59"/>
      <c r="AP170" s="60"/>
      <c r="AQ170" s="61"/>
      <c r="AR170" s="62">
        <v>225</v>
      </c>
      <c r="AS170" s="61">
        <v>22.5</v>
      </c>
      <c r="AT170" s="61"/>
      <c r="AU170" s="75"/>
      <c r="AV170" s="84"/>
      <c r="AW170" s="77"/>
      <c r="AX170" s="58"/>
      <c r="AY170" s="58"/>
      <c r="BB170" s="59"/>
      <c r="BC170" s="60"/>
      <c r="BD170" s="61"/>
      <c r="BE170" s="62">
        <v>686</v>
      </c>
      <c r="BF170" s="61"/>
      <c r="BG170" s="61"/>
      <c r="BH170" s="75"/>
      <c r="BI170" s="84"/>
      <c r="BJ170" s="77"/>
      <c r="BK170" s="58"/>
      <c r="BL170" s="58"/>
    </row>
    <row r="171" ht="15.75" spans="2:64">
      <c r="B171" s="59">
        <v>673</v>
      </c>
      <c r="C171" s="60">
        <v>312</v>
      </c>
      <c r="D171" s="61">
        <v>58</v>
      </c>
      <c r="E171" s="62"/>
      <c r="F171" s="61"/>
      <c r="G171" s="61">
        <v>116</v>
      </c>
      <c r="H171" s="63" t="s">
        <v>128</v>
      </c>
      <c r="I171" s="64"/>
      <c r="J171" s="65" t="s">
        <v>21</v>
      </c>
      <c r="K171" s="66"/>
      <c r="L171" s="67">
        <f>G189</f>
        <v>2787.5</v>
      </c>
      <c r="AB171" s="59"/>
      <c r="AC171" s="60">
        <v>560</v>
      </c>
      <c r="AD171" s="61">
        <v>18</v>
      </c>
      <c r="AE171" s="62"/>
      <c r="AF171" s="61"/>
      <c r="AG171" s="61"/>
      <c r="AH171" s="75"/>
      <c r="AI171" s="76"/>
      <c r="AJ171" s="77"/>
      <c r="AK171" s="82" t="s">
        <v>37</v>
      </c>
      <c r="AL171" s="83">
        <f>AL166/8</f>
        <v>97.71875</v>
      </c>
      <c r="AO171" s="69"/>
      <c r="AP171" s="70">
        <v>294</v>
      </c>
      <c r="AQ171" s="85"/>
      <c r="AR171" s="70"/>
      <c r="AS171" s="70"/>
      <c r="AT171" s="70"/>
      <c r="AU171" s="72"/>
      <c r="AV171" s="73"/>
      <c r="AW171" s="89" t="s">
        <v>44</v>
      </c>
      <c r="AX171" s="90" t="s">
        <v>45</v>
      </c>
      <c r="AY171" s="90" t="s">
        <v>46</v>
      </c>
      <c r="BB171" s="69"/>
      <c r="BC171" s="70"/>
      <c r="BD171" s="85"/>
      <c r="BE171" s="70"/>
      <c r="BF171" s="70"/>
      <c r="BG171" s="70"/>
      <c r="BH171" s="72"/>
      <c r="BI171" s="73"/>
      <c r="BJ171" s="77"/>
      <c r="BK171" s="58"/>
      <c r="BL171" s="58"/>
    </row>
    <row r="172" ht="15.75" spans="2:64">
      <c r="B172" s="69">
        <v>380</v>
      </c>
      <c r="C172" s="70">
        <v>481</v>
      </c>
      <c r="D172" s="71">
        <v>49</v>
      </c>
      <c r="E172" s="70"/>
      <c r="F172" s="70"/>
      <c r="G172" s="70">
        <v>29</v>
      </c>
      <c r="H172" s="72" t="s">
        <v>85</v>
      </c>
      <c r="I172" s="73"/>
      <c r="J172" s="74" t="s">
        <v>26</v>
      </c>
      <c r="K172" s="57"/>
      <c r="L172" s="49">
        <f>B189+L169+L170-L171-E189-F189</f>
        <v>331.5</v>
      </c>
      <c r="AB172" s="69"/>
      <c r="AC172" s="70"/>
      <c r="AD172" s="85"/>
      <c r="AE172" s="70">
        <v>1037</v>
      </c>
      <c r="AF172" s="70">
        <v>155.55</v>
      </c>
      <c r="AG172" s="70"/>
      <c r="AH172" s="72"/>
      <c r="AI172" s="73"/>
      <c r="AJ172" s="86"/>
      <c r="AK172" s="77"/>
      <c r="AL172" s="87"/>
      <c r="AO172" s="59"/>
      <c r="AP172" s="60">
        <v>372</v>
      </c>
      <c r="AQ172" s="61">
        <v>48</v>
      </c>
      <c r="AR172" s="62"/>
      <c r="AS172" s="61"/>
      <c r="AT172" s="61"/>
      <c r="AU172" s="75"/>
      <c r="AV172" s="84"/>
      <c r="AW172" s="92" t="s">
        <v>47</v>
      </c>
      <c r="AX172" s="93" t="s">
        <v>51</v>
      </c>
      <c r="AY172" s="93" t="s">
        <v>43</v>
      </c>
      <c r="BB172" s="59"/>
      <c r="BC172" s="60"/>
      <c r="BD172" s="61"/>
      <c r="BE172" s="62"/>
      <c r="BF172" s="61"/>
      <c r="BG172" s="61"/>
      <c r="BH172" s="75"/>
      <c r="BI172" s="84"/>
      <c r="BJ172" s="77"/>
      <c r="BK172" s="58"/>
      <c r="BL172" s="58"/>
    </row>
    <row r="173" spans="2:64">
      <c r="B173" s="59">
        <v>200</v>
      </c>
      <c r="C173" s="60">
        <v>325</v>
      </c>
      <c r="D173" s="61">
        <v>45</v>
      </c>
      <c r="E173" s="62"/>
      <c r="F173" s="61"/>
      <c r="G173" s="61">
        <v>42.5</v>
      </c>
      <c r="H173" s="75" t="s">
        <v>129</v>
      </c>
      <c r="I173" s="76"/>
      <c r="J173" s="77"/>
      <c r="K173" s="78" t="s">
        <v>30</v>
      </c>
      <c r="L173" s="79">
        <f>L170/4</f>
        <v>56.8125</v>
      </c>
      <c r="O173" s="33" t="s">
        <v>130</v>
      </c>
      <c r="P173" s="34"/>
      <c r="Q173" s="34"/>
      <c r="R173" s="34"/>
      <c r="S173" s="34"/>
      <c r="T173" s="34"/>
      <c r="U173" s="34"/>
      <c r="V173" s="34"/>
      <c r="W173" s="34"/>
      <c r="X173" s="34"/>
      <c r="Y173" s="35"/>
      <c r="AB173" s="59"/>
      <c r="AC173" s="60">
        <v>407</v>
      </c>
      <c r="AD173" s="61">
        <v>23</v>
      </c>
      <c r="AE173" s="62"/>
      <c r="AF173" s="61"/>
      <c r="AG173" s="61"/>
      <c r="AH173" s="75"/>
      <c r="AI173" s="76"/>
      <c r="AJ173" s="77"/>
      <c r="AK173" s="58"/>
      <c r="AL173" s="58"/>
      <c r="AO173" s="69"/>
      <c r="AP173" s="70"/>
      <c r="AQ173" s="85"/>
      <c r="AR173" s="70">
        <v>145</v>
      </c>
      <c r="AS173" s="70">
        <v>14.5</v>
      </c>
      <c r="AT173" s="70"/>
      <c r="AU173" s="72"/>
      <c r="AV173" s="73"/>
      <c r="AW173" s="94" t="s">
        <v>52</v>
      </c>
      <c r="AX173" s="95" t="s">
        <v>27</v>
      </c>
      <c r="AY173" s="95" t="s">
        <v>67</v>
      </c>
      <c r="BB173" s="69"/>
      <c r="BC173" s="70"/>
      <c r="BD173" s="85"/>
      <c r="BE173" s="70"/>
      <c r="BF173" s="70"/>
      <c r="BG173" s="70"/>
      <c r="BH173" s="72"/>
      <c r="BI173" s="73"/>
      <c r="BJ173" s="89" t="s">
        <v>44</v>
      </c>
      <c r="BK173" s="90" t="s">
        <v>45</v>
      </c>
      <c r="BL173" s="90" t="s">
        <v>46</v>
      </c>
    </row>
    <row r="174" ht="15.75" spans="2:64">
      <c r="B174" s="69"/>
      <c r="C174" s="70">
        <v>25</v>
      </c>
      <c r="D174" s="71"/>
      <c r="E174" s="70"/>
      <c r="F174" s="70"/>
      <c r="G174" s="70">
        <v>1100</v>
      </c>
      <c r="H174" s="72" t="s">
        <v>131</v>
      </c>
      <c r="I174" s="73"/>
      <c r="J174" s="77"/>
      <c r="K174" s="80" t="s">
        <v>34</v>
      </c>
      <c r="L174" s="81">
        <f>L170/6</f>
        <v>37.875</v>
      </c>
      <c r="O174" s="36"/>
      <c r="P174" s="37"/>
      <c r="Q174" s="37"/>
      <c r="R174" s="37"/>
      <c r="S174" s="37"/>
      <c r="T174" s="37"/>
      <c r="U174" s="37"/>
      <c r="V174" s="37"/>
      <c r="W174" s="37"/>
      <c r="X174" s="37"/>
      <c r="Y174" s="38"/>
      <c r="AB174" s="69"/>
      <c r="AC174" s="70"/>
      <c r="AD174" s="71"/>
      <c r="AE174" s="70">
        <v>868</v>
      </c>
      <c r="AF174" s="70">
        <v>86.8</v>
      </c>
      <c r="AG174" s="70"/>
      <c r="AH174" s="72"/>
      <c r="AI174" s="73"/>
      <c r="AJ174" s="77"/>
      <c r="AK174" s="58"/>
      <c r="AL174" s="58"/>
      <c r="AO174" s="59"/>
      <c r="AP174" s="60"/>
      <c r="AQ174" s="61"/>
      <c r="AR174" s="62">
        <v>403</v>
      </c>
      <c r="AS174" s="61">
        <v>40.3</v>
      </c>
      <c r="AT174" s="61"/>
      <c r="AU174" s="75"/>
      <c r="AV174" s="84"/>
      <c r="AW174" s="77"/>
      <c r="AX174" s="77"/>
      <c r="AY174" s="87"/>
      <c r="BB174" s="59"/>
      <c r="BC174" s="60"/>
      <c r="BD174" s="61"/>
      <c r="BE174" s="62"/>
      <c r="BF174" s="61"/>
      <c r="BG174" s="61"/>
      <c r="BH174" s="75"/>
      <c r="BI174" s="84"/>
      <c r="BJ174" s="92" t="s">
        <v>47</v>
      </c>
      <c r="BK174" s="93" t="s">
        <v>27</v>
      </c>
      <c r="BL174" s="93" t="s">
        <v>66</v>
      </c>
    </row>
    <row r="175" ht="15.75" spans="2:64">
      <c r="B175" s="59"/>
      <c r="C175" s="60">
        <v>309</v>
      </c>
      <c r="D175" s="61"/>
      <c r="E175" s="62"/>
      <c r="F175" s="61"/>
      <c r="G175" s="61">
        <v>1500</v>
      </c>
      <c r="H175" s="75" t="s">
        <v>66</v>
      </c>
      <c r="I175" s="76"/>
      <c r="J175" s="77"/>
      <c r="K175" s="82" t="s">
        <v>37</v>
      </c>
      <c r="L175" s="83">
        <f>L170/8</f>
        <v>28.40625</v>
      </c>
      <c r="O175" s="39" t="s">
        <v>12</v>
      </c>
      <c r="P175" s="40" t="s">
        <v>13</v>
      </c>
      <c r="Q175" s="41"/>
      <c r="R175" s="42" t="s">
        <v>14</v>
      </c>
      <c r="S175" s="43"/>
      <c r="T175" s="44" t="s">
        <v>15</v>
      </c>
      <c r="U175" s="45"/>
      <c r="V175" s="46"/>
      <c r="W175" s="47" t="s">
        <v>16</v>
      </c>
      <c r="X175" s="48"/>
      <c r="Y175" s="49">
        <f>P197+R197</f>
        <v>3110</v>
      </c>
      <c r="AB175" s="59"/>
      <c r="AC175" s="60">
        <v>632</v>
      </c>
      <c r="AD175" s="88">
        <v>68</v>
      </c>
      <c r="AE175" s="62"/>
      <c r="AF175" s="61"/>
      <c r="AG175" s="61"/>
      <c r="AH175" s="75"/>
      <c r="AI175" s="76"/>
      <c r="AJ175" s="77"/>
      <c r="AK175" s="58"/>
      <c r="AL175" s="58"/>
      <c r="AO175" s="69"/>
      <c r="AP175" s="70"/>
      <c r="AQ175" s="85"/>
      <c r="AR175" s="70"/>
      <c r="AS175" s="70"/>
      <c r="AT175" s="70"/>
      <c r="AU175" s="72"/>
      <c r="AV175" s="73"/>
      <c r="AW175" s="58"/>
      <c r="AX175" s="58"/>
      <c r="AY175" s="58"/>
      <c r="BB175" s="69"/>
      <c r="BC175" s="70"/>
      <c r="BD175" s="85"/>
      <c r="BE175" s="70"/>
      <c r="BF175" s="70"/>
      <c r="BG175" s="70"/>
      <c r="BH175" s="72"/>
      <c r="BI175" s="73"/>
      <c r="BJ175" s="94" t="s">
        <v>52</v>
      </c>
      <c r="BK175" s="95" t="s">
        <v>48</v>
      </c>
      <c r="BL175" s="95" t="s">
        <v>65</v>
      </c>
    </row>
    <row r="176" ht="15.75" spans="2:64">
      <c r="B176" s="69"/>
      <c r="C176" s="70">
        <v>220</v>
      </c>
      <c r="D176" s="85">
        <v>40</v>
      </c>
      <c r="E176" s="70"/>
      <c r="F176" s="70"/>
      <c r="G176" s="70"/>
      <c r="H176" s="72"/>
      <c r="I176" s="73"/>
      <c r="J176" s="86"/>
      <c r="K176" s="77"/>
      <c r="L176" s="87"/>
      <c r="O176" s="50"/>
      <c r="P176" s="51" t="s">
        <v>17</v>
      </c>
      <c r="Q176" s="51" t="s">
        <v>18</v>
      </c>
      <c r="R176" s="52" t="s">
        <v>17</v>
      </c>
      <c r="S176" s="52" t="s">
        <v>18</v>
      </c>
      <c r="T176" s="53"/>
      <c r="U176" s="54"/>
      <c r="V176" s="55"/>
      <c r="W176" s="56" t="s">
        <v>19</v>
      </c>
      <c r="X176" s="57"/>
      <c r="Y176" s="49">
        <f>Q197+S197</f>
        <v>233.1</v>
      </c>
      <c r="AB176" s="69"/>
      <c r="AC176" s="70"/>
      <c r="AD176" s="71"/>
      <c r="AE176" s="70">
        <v>365</v>
      </c>
      <c r="AF176" s="70">
        <v>36.5</v>
      </c>
      <c r="AG176" s="70"/>
      <c r="AH176" s="72"/>
      <c r="AI176" s="73"/>
      <c r="AJ176" s="89" t="s">
        <v>44</v>
      </c>
      <c r="AK176" s="90" t="s">
        <v>45</v>
      </c>
      <c r="AL176" s="90" t="s">
        <v>46</v>
      </c>
      <c r="AO176" s="59"/>
      <c r="AP176" s="60"/>
      <c r="AQ176" s="61"/>
      <c r="AR176" s="62"/>
      <c r="AS176" s="61"/>
      <c r="AT176" s="61"/>
      <c r="AU176" s="75"/>
      <c r="AV176" s="84"/>
      <c r="AW176" s="58"/>
      <c r="AX176" s="58"/>
      <c r="AY176" s="58"/>
      <c r="BB176" s="59"/>
      <c r="BC176" s="60"/>
      <c r="BD176" s="61"/>
      <c r="BE176" s="62"/>
      <c r="BF176" s="61"/>
      <c r="BG176" s="61"/>
      <c r="BH176" s="75"/>
      <c r="BI176" s="84"/>
      <c r="BJ176" s="77"/>
      <c r="BK176" s="77"/>
      <c r="BL176" s="87"/>
    </row>
    <row r="177" ht="15.75" spans="2:64">
      <c r="B177" s="59"/>
      <c r="C177" s="60">
        <v>2</v>
      </c>
      <c r="D177" s="61"/>
      <c r="E177" s="62"/>
      <c r="F177" s="61"/>
      <c r="G177" s="61"/>
      <c r="H177" s="75"/>
      <c r="I177" s="76"/>
      <c r="J177" s="77"/>
      <c r="K177" s="58"/>
      <c r="L177" s="58"/>
      <c r="O177" s="59">
        <v>4135</v>
      </c>
      <c r="P177" s="60"/>
      <c r="Q177" s="61"/>
      <c r="R177" s="62">
        <v>502</v>
      </c>
      <c r="S177" s="61"/>
      <c r="T177" s="61">
        <v>1540</v>
      </c>
      <c r="U177" s="63" t="s">
        <v>66</v>
      </c>
      <c r="V177" s="64"/>
      <c r="W177" s="65" t="s">
        <v>21</v>
      </c>
      <c r="X177" s="66"/>
      <c r="Y177" s="67">
        <f>T197</f>
        <v>3599</v>
      </c>
      <c r="AB177" s="59"/>
      <c r="AC177" s="60">
        <v>627</v>
      </c>
      <c r="AD177" s="61">
        <v>73</v>
      </c>
      <c r="AE177" s="62"/>
      <c r="AF177" s="61"/>
      <c r="AG177" s="61"/>
      <c r="AH177" s="75"/>
      <c r="AI177" s="76"/>
      <c r="AJ177" s="92" t="s">
        <v>47</v>
      </c>
      <c r="AK177" s="93" t="s">
        <v>48</v>
      </c>
      <c r="AL177" s="93" t="s">
        <v>65</v>
      </c>
      <c r="AO177" s="59"/>
      <c r="AP177" s="60"/>
      <c r="AQ177" s="61"/>
      <c r="AR177" s="62"/>
      <c r="AS177" s="61"/>
      <c r="AT177" s="61"/>
      <c r="AU177" s="75"/>
      <c r="AV177" s="76"/>
      <c r="BB177" s="59"/>
      <c r="BC177" s="60"/>
      <c r="BD177" s="61"/>
      <c r="BE177" s="62"/>
      <c r="BF177" s="61"/>
      <c r="BG177" s="61"/>
      <c r="BH177" s="75"/>
      <c r="BI177" s="76"/>
    </row>
    <row r="178" customHeight="1" spans="2:64">
      <c r="B178" s="69"/>
      <c r="C178" s="70"/>
      <c r="D178" s="71"/>
      <c r="E178" s="70">
        <v>235</v>
      </c>
      <c r="F178" s="70">
        <v>35.25</v>
      </c>
      <c r="G178" s="70"/>
      <c r="H178" s="72"/>
      <c r="I178" s="73"/>
      <c r="J178" s="77"/>
      <c r="K178" s="58"/>
      <c r="L178" s="58"/>
      <c r="O178" s="69"/>
      <c r="P178" s="70"/>
      <c r="Q178" s="71"/>
      <c r="R178" s="70">
        <v>483</v>
      </c>
      <c r="S178" s="70">
        <v>48.3</v>
      </c>
      <c r="T178" s="70">
        <v>174</v>
      </c>
      <c r="U178" s="72" t="s">
        <v>132</v>
      </c>
      <c r="V178" s="73"/>
      <c r="W178" s="74" t="s">
        <v>26</v>
      </c>
      <c r="X178" s="57"/>
      <c r="Y178" s="49">
        <f>O197+Y175+Y176-Y177-R197-S197</f>
        <v>726</v>
      </c>
      <c r="AB178" s="69"/>
      <c r="AC178" s="70"/>
      <c r="AD178" s="71"/>
      <c r="AE178" s="70">
        <v>771</v>
      </c>
      <c r="AF178" s="70">
        <v>77.1</v>
      </c>
      <c r="AG178" s="70"/>
      <c r="AH178" s="72"/>
      <c r="AI178" s="73"/>
      <c r="AJ178" s="94" t="s">
        <v>52</v>
      </c>
      <c r="AK178" s="95" t="s">
        <v>27</v>
      </c>
      <c r="AL178" s="95" t="s">
        <v>43</v>
      </c>
      <c r="AO178" s="96"/>
      <c r="AP178" s="97"/>
      <c r="AQ178" s="98"/>
      <c r="AR178" s="99"/>
      <c r="AS178" s="98"/>
      <c r="AT178" s="98"/>
      <c r="AU178" s="72"/>
      <c r="AV178" s="73"/>
      <c r="BB178" s="96"/>
      <c r="BC178" s="97"/>
      <c r="BD178" s="98"/>
      <c r="BE178" s="99"/>
      <c r="BF178" s="98"/>
      <c r="BG178" s="98"/>
      <c r="BH178" s="72"/>
      <c r="BI178" s="73"/>
    </row>
    <row r="179" spans="2:64">
      <c r="B179" s="59"/>
      <c r="C179" s="60"/>
      <c r="D179" s="88"/>
      <c r="E179" s="62"/>
      <c r="F179" s="61"/>
      <c r="G179" s="61"/>
      <c r="H179" s="75"/>
      <c r="I179" s="76"/>
      <c r="J179" s="77"/>
      <c r="K179" s="58"/>
      <c r="L179" s="58"/>
      <c r="O179" s="59"/>
      <c r="P179" s="60"/>
      <c r="Q179" s="61"/>
      <c r="R179" s="62">
        <v>170</v>
      </c>
      <c r="S179" s="61"/>
      <c r="T179" s="61">
        <v>40</v>
      </c>
      <c r="U179" s="75" t="s">
        <v>133</v>
      </c>
      <c r="V179" s="76"/>
      <c r="W179" s="77"/>
      <c r="X179" s="78" t="s">
        <v>30</v>
      </c>
      <c r="Y179" s="79">
        <f>Y176/4</f>
        <v>58.275</v>
      </c>
      <c r="AB179" s="59"/>
      <c r="AC179" s="60">
        <v>15</v>
      </c>
      <c r="AD179" s="61"/>
      <c r="AE179" s="62"/>
      <c r="AF179" s="61"/>
      <c r="AG179" s="61"/>
      <c r="AH179" s="75"/>
      <c r="AI179" s="76"/>
      <c r="AJ179" s="77"/>
      <c r="AK179" s="77"/>
      <c r="AL179" s="87"/>
      <c r="AO179" s="59"/>
      <c r="AP179" s="60"/>
      <c r="AQ179" s="61"/>
      <c r="AR179" s="62"/>
      <c r="AS179" s="61"/>
      <c r="AT179" s="61"/>
      <c r="AU179" s="75"/>
      <c r="AV179" s="76"/>
      <c r="BB179" s="59"/>
      <c r="BC179" s="60"/>
      <c r="BD179" s="61"/>
      <c r="BE179" s="62"/>
      <c r="BF179" s="61"/>
      <c r="BG179" s="61"/>
      <c r="BH179" s="75"/>
      <c r="BI179" s="76"/>
    </row>
    <row r="180" spans="2:64">
      <c r="B180" s="69"/>
      <c r="C180" s="70"/>
      <c r="D180" s="71"/>
      <c r="E180" s="70"/>
      <c r="F180" s="70"/>
      <c r="G180" s="70"/>
      <c r="H180" s="72"/>
      <c r="I180" s="73"/>
      <c r="J180" s="89" t="s">
        <v>44</v>
      </c>
      <c r="K180" s="90" t="s">
        <v>45</v>
      </c>
      <c r="L180" s="90" t="s">
        <v>46</v>
      </c>
      <c r="O180" s="69"/>
      <c r="P180" s="70">
        <v>170</v>
      </c>
      <c r="Q180" s="71">
        <v>20</v>
      </c>
      <c r="R180" s="70"/>
      <c r="S180" s="70"/>
      <c r="T180" s="70">
        <v>25</v>
      </c>
      <c r="U180" s="72" t="s">
        <v>29</v>
      </c>
      <c r="V180" s="73"/>
      <c r="W180" s="77"/>
      <c r="X180" s="80" t="s">
        <v>34</v>
      </c>
      <c r="Y180" s="81">
        <f>Y176/6</f>
        <v>38.85</v>
      </c>
      <c r="AB180" s="69"/>
      <c r="AC180" s="70">
        <v>173</v>
      </c>
      <c r="AD180" s="71">
        <v>47</v>
      </c>
      <c r="AE180" s="70"/>
      <c r="AF180" s="70"/>
      <c r="AG180" s="70"/>
      <c r="AH180" s="72"/>
      <c r="AI180" s="73"/>
      <c r="AJ180" s="58"/>
      <c r="AK180" s="58"/>
      <c r="AL180" s="58"/>
      <c r="AO180" s="96"/>
      <c r="AP180" s="97"/>
      <c r="AQ180" s="98"/>
      <c r="AR180" s="99"/>
      <c r="AS180" s="98"/>
      <c r="AT180" s="98"/>
      <c r="AU180" s="72"/>
      <c r="AV180" s="73"/>
      <c r="BB180" s="96"/>
      <c r="BC180" s="97"/>
      <c r="BD180" s="98"/>
      <c r="BE180" s="99"/>
      <c r="BF180" s="98"/>
      <c r="BG180" s="98"/>
      <c r="BH180" s="72"/>
      <c r="BI180" s="73"/>
    </row>
    <row r="181" spans="2:64">
      <c r="B181" s="59"/>
      <c r="C181" s="60"/>
      <c r="D181" s="61"/>
      <c r="E181" s="62"/>
      <c r="F181" s="61"/>
      <c r="G181" s="61"/>
      <c r="H181" s="75"/>
      <c r="I181" s="76"/>
      <c r="J181" s="92" t="s">
        <v>47</v>
      </c>
      <c r="K181" s="93" t="s">
        <v>48</v>
      </c>
      <c r="L181" s="93" t="s">
        <v>96</v>
      </c>
      <c r="O181" s="59"/>
      <c r="P181" s="60"/>
      <c r="Q181" s="61"/>
      <c r="R181" s="62">
        <v>137</v>
      </c>
      <c r="S181" s="61"/>
      <c r="T181" s="61">
        <v>140</v>
      </c>
      <c r="U181" s="75" t="s">
        <v>63</v>
      </c>
      <c r="V181" s="76"/>
      <c r="W181" s="77"/>
      <c r="X181" s="82" t="s">
        <v>37</v>
      </c>
      <c r="Y181" s="83">
        <f>Y176/8</f>
        <v>29.1375</v>
      </c>
      <c r="AB181" s="59"/>
      <c r="AC181" s="60"/>
      <c r="AD181" s="61"/>
      <c r="AE181" s="62">
        <v>268</v>
      </c>
      <c r="AF181" s="61">
        <v>26.8</v>
      </c>
      <c r="AG181" s="61"/>
      <c r="AH181" s="75"/>
      <c r="AI181" s="76"/>
      <c r="AJ181" s="58"/>
      <c r="AK181" s="58"/>
      <c r="AL181" s="58"/>
      <c r="AO181" s="59"/>
      <c r="AP181" s="60"/>
      <c r="AQ181" s="61"/>
      <c r="AR181" s="62"/>
      <c r="AS181" s="61"/>
      <c r="AT181" s="61"/>
      <c r="AU181" s="75"/>
      <c r="AV181" s="76"/>
      <c r="BB181" s="59"/>
      <c r="BC181" s="60"/>
      <c r="BD181" s="61"/>
      <c r="BE181" s="62"/>
      <c r="BF181" s="61"/>
      <c r="BG181" s="61"/>
      <c r="BH181" s="75"/>
      <c r="BI181" s="76"/>
    </row>
    <row r="182" ht="15.75" spans="2:64">
      <c r="B182" s="69"/>
      <c r="C182" s="70"/>
      <c r="D182" s="71"/>
      <c r="E182" s="70"/>
      <c r="F182" s="70"/>
      <c r="G182" s="70"/>
      <c r="H182" s="72"/>
      <c r="I182" s="73"/>
      <c r="J182" s="94" t="s">
        <v>52</v>
      </c>
      <c r="K182" s="95" t="s">
        <v>27</v>
      </c>
      <c r="L182" s="95" t="s">
        <v>43</v>
      </c>
      <c r="O182" s="69"/>
      <c r="P182" s="70"/>
      <c r="Q182" s="85"/>
      <c r="R182" s="70">
        <v>882</v>
      </c>
      <c r="S182" s="70">
        <v>88.2</v>
      </c>
      <c r="T182" s="70">
        <v>1340</v>
      </c>
      <c r="U182" s="72" t="s">
        <v>72</v>
      </c>
      <c r="V182" s="73"/>
      <c r="W182" s="86"/>
      <c r="X182" s="77"/>
      <c r="Y182" s="87"/>
      <c r="AB182" s="69"/>
      <c r="AC182" s="71">
        <v>280</v>
      </c>
      <c r="AD182" s="71">
        <v>26</v>
      </c>
      <c r="AE182" s="70"/>
      <c r="AF182" s="70"/>
      <c r="AG182" s="70"/>
      <c r="AH182" s="72"/>
      <c r="AI182" s="73"/>
      <c r="AJ182" s="58"/>
      <c r="AK182" s="58"/>
      <c r="AL182" s="58"/>
      <c r="AO182" s="96"/>
      <c r="AP182" s="97"/>
      <c r="AQ182" s="98"/>
      <c r="AR182" s="99"/>
      <c r="AS182" s="98"/>
      <c r="AT182" s="98"/>
      <c r="AU182" s="72"/>
      <c r="AV182" s="73"/>
      <c r="BB182" s="96"/>
      <c r="BC182" s="97"/>
      <c r="BD182" s="98"/>
      <c r="BE182" s="99"/>
      <c r="BF182" s="98"/>
      <c r="BG182" s="98"/>
      <c r="BH182" s="72"/>
      <c r="BI182" s="73"/>
    </row>
    <row r="183" ht="15.75" spans="2:64">
      <c r="B183" s="59"/>
      <c r="C183" s="60"/>
      <c r="D183" s="61"/>
      <c r="E183" s="62"/>
      <c r="F183" s="61"/>
      <c r="G183" s="61"/>
      <c r="H183" s="75"/>
      <c r="I183" s="76"/>
      <c r="J183" s="77"/>
      <c r="K183" s="77"/>
      <c r="L183" s="87"/>
      <c r="O183" s="59"/>
      <c r="P183" s="60"/>
      <c r="Q183" s="61"/>
      <c r="R183" s="62">
        <v>526</v>
      </c>
      <c r="S183" s="61">
        <v>52.6</v>
      </c>
      <c r="T183" s="61">
        <v>340</v>
      </c>
      <c r="U183" s="75" t="s">
        <v>134</v>
      </c>
      <c r="V183" s="76"/>
      <c r="W183" s="77"/>
      <c r="X183" s="58"/>
      <c r="Y183" s="58"/>
      <c r="AB183" s="59"/>
      <c r="AC183" s="61">
        <v>187</v>
      </c>
      <c r="AD183" s="61">
        <v>13</v>
      </c>
      <c r="AE183" s="62"/>
      <c r="AF183" s="61"/>
      <c r="AG183" s="61"/>
      <c r="AH183" s="75"/>
      <c r="AI183" s="76"/>
      <c r="AJ183" s="58"/>
      <c r="AK183" s="58"/>
      <c r="AL183" s="58"/>
      <c r="AO183" s="102">
        <f t="shared" ref="AO183:AT183" si="33">SUM(AO162:AO182)</f>
        <v>3474</v>
      </c>
      <c r="AP183" s="103">
        <f t="shared" si="33"/>
        <v>2636</v>
      </c>
      <c r="AQ183" s="104">
        <f t="shared" si="33"/>
        <v>196</v>
      </c>
      <c r="AR183" s="105">
        <f t="shared" si="33"/>
        <v>2655</v>
      </c>
      <c r="AS183" s="106">
        <f t="shared" si="33"/>
        <v>265.5</v>
      </c>
      <c r="AT183" s="107">
        <f t="shared" si="33"/>
        <v>4199.5</v>
      </c>
      <c r="AU183" s="108" t="s">
        <v>54</v>
      </c>
      <c r="AV183" s="109"/>
      <c r="BB183" s="102">
        <f t="shared" ref="BB183:BG183" si="34">SUM(BB164:BB182)</f>
        <v>577</v>
      </c>
      <c r="BC183" s="103">
        <f t="shared" si="34"/>
        <v>346</v>
      </c>
      <c r="BD183" s="104">
        <f t="shared" si="34"/>
        <v>17</v>
      </c>
      <c r="BE183" s="105">
        <f t="shared" si="34"/>
        <v>2273</v>
      </c>
      <c r="BF183" s="106">
        <f t="shared" si="34"/>
        <v>40</v>
      </c>
      <c r="BG183" s="107">
        <f t="shared" si="34"/>
        <v>75</v>
      </c>
      <c r="BH183" s="108" t="s">
        <v>54</v>
      </c>
      <c r="BI183" s="109"/>
    </row>
    <row r="184" ht="20" customHeight="1" spans="2:64">
      <c r="B184" s="69"/>
      <c r="C184" s="70"/>
      <c r="D184" s="71"/>
      <c r="E184" s="70"/>
      <c r="F184" s="70"/>
      <c r="G184" s="70"/>
      <c r="H184" s="72"/>
      <c r="I184" s="73"/>
      <c r="J184" s="58"/>
      <c r="K184" s="58"/>
      <c r="L184" s="58"/>
      <c r="O184" s="69"/>
      <c r="P184" s="70"/>
      <c r="Q184" s="71"/>
      <c r="R184" s="70">
        <v>240</v>
      </c>
      <c r="S184" s="70">
        <v>24</v>
      </c>
      <c r="T184" s="70"/>
      <c r="U184" s="72"/>
      <c r="V184" s="73"/>
      <c r="W184" s="77"/>
      <c r="X184" s="58"/>
      <c r="Y184" s="58"/>
      <c r="AB184" s="69"/>
      <c r="AC184" s="70"/>
      <c r="AD184" s="71"/>
      <c r="AE184" s="70"/>
      <c r="AF184" s="70"/>
      <c r="AG184" s="70"/>
      <c r="AH184" s="72"/>
      <c r="AI184" s="73"/>
      <c r="AJ184" s="58"/>
      <c r="AK184" s="58"/>
      <c r="AL184" s="58"/>
    </row>
    <row r="185" ht="15.75" spans="2:64">
      <c r="B185" s="59"/>
      <c r="C185" s="60"/>
      <c r="D185" s="61"/>
      <c r="E185" s="62"/>
      <c r="F185" s="61"/>
      <c r="G185" s="61"/>
      <c r="H185" s="75"/>
      <c r="I185" s="76"/>
      <c r="J185" s="58"/>
      <c r="K185" s="58"/>
      <c r="L185" s="58"/>
      <c r="O185" s="59"/>
      <c r="P185" s="60"/>
      <c r="Q185" s="88"/>
      <c r="R185" s="62"/>
      <c r="S185" s="61"/>
      <c r="T185" s="61"/>
      <c r="U185" s="75"/>
      <c r="V185" s="76"/>
      <c r="W185" s="77"/>
      <c r="X185" s="58"/>
      <c r="Y185" s="58"/>
      <c r="AB185" s="59"/>
      <c r="AC185" s="60"/>
      <c r="AD185" s="61"/>
      <c r="AE185" s="62"/>
      <c r="AF185" s="61"/>
      <c r="AG185" s="61"/>
      <c r="AH185" s="75"/>
      <c r="AI185" s="76"/>
      <c r="AJ185" s="58"/>
      <c r="AK185" s="58"/>
      <c r="AL185" s="58"/>
    </row>
    <row r="186" spans="2:64">
      <c r="B186" s="96"/>
      <c r="C186" s="97"/>
      <c r="D186" s="98"/>
      <c r="E186" s="99"/>
      <c r="F186" s="98"/>
      <c r="G186" s="98"/>
      <c r="H186" s="72"/>
      <c r="I186" s="73"/>
      <c r="O186" s="69"/>
      <c r="P186" s="70"/>
      <c r="Q186" s="71"/>
      <c r="R186" s="70"/>
      <c r="S186" s="70"/>
      <c r="T186" s="70"/>
      <c r="U186" s="72"/>
      <c r="V186" s="73"/>
      <c r="W186" s="89" t="s">
        <v>44</v>
      </c>
      <c r="X186" s="90" t="s">
        <v>45</v>
      </c>
      <c r="Y186" s="90" t="s">
        <v>46</v>
      </c>
      <c r="AB186" s="69"/>
      <c r="AC186" s="70"/>
      <c r="AD186" s="71"/>
      <c r="AE186" s="70"/>
      <c r="AF186" s="70"/>
      <c r="AG186" s="70"/>
      <c r="AH186" s="72"/>
      <c r="AI186" s="73"/>
      <c r="AJ186" s="58"/>
      <c r="AO186" s="33" t="s">
        <v>135</v>
      </c>
      <c r="AP186" s="34"/>
      <c r="AQ186" s="34"/>
      <c r="AR186" s="34"/>
      <c r="AS186" s="34"/>
      <c r="AT186" s="34"/>
      <c r="AU186" s="34"/>
      <c r="AV186" s="34"/>
      <c r="AW186" s="34"/>
      <c r="AX186" s="34"/>
      <c r="AY186" s="35"/>
      <c r="BB186" s="33" t="s">
        <v>136</v>
      </c>
      <c r="BC186" s="34"/>
      <c r="BD186" s="34"/>
      <c r="BE186" s="34"/>
      <c r="BF186" s="34"/>
      <c r="BG186" s="34"/>
      <c r="BH186" s="34"/>
      <c r="BI186" s="34"/>
      <c r="BJ186" s="34"/>
      <c r="BK186" s="34"/>
      <c r="BL186" s="35"/>
    </row>
    <row r="187" ht="15.75" spans="2:64">
      <c r="B187" s="59"/>
      <c r="C187" s="60"/>
      <c r="D187" s="61"/>
      <c r="E187" s="62"/>
      <c r="F187" s="61"/>
      <c r="G187" s="61"/>
      <c r="H187" s="75"/>
      <c r="I187" s="76"/>
      <c r="O187" s="59"/>
      <c r="P187" s="60"/>
      <c r="Q187" s="61"/>
      <c r="R187" s="62"/>
      <c r="S187" s="61"/>
      <c r="T187" s="61"/>
      <c r="U187" s="75"/>
      <c r="V187" s="76"/>
      <c r="W187" s="92" t="s">
        <v>47</v>
      </c>
      <c r="X187" s="93" t="s">
        <v>48</v>
      </c>
      <c r="Y187" s="93" t="s">
        <v>43</v>
      </c>
      <c r="AB187" s="59"/>
      <c r="AC187" s="60"/>
      <c r="AD187" s="61"/>
      <c r="AE187" s="62"/>
      <c r="AF187" s="61"/>
      <c r="AG187" s="61"/>
      <c r="AH187" s="75"/>
      <c r="AI187" s="76"/>
      <c r="AO187" s="36"/>
      <c r="AP187" s="37"/>
      <c r="AQ187" s="37"/>
      <c r="AR187" s="37"/>
      <c r="AS187" s="37"/>
      <c r="AT187" s="37"/>
      <c r="AU187" s="37"/>
      <c r="AV187" s="37"/>
      <c r="AW187" s="37"/>
      <c r="AX187" s="37"/>
      <c r="AY187" s="38"/>
      <c r="BB187" s="36"/>
      <c r="BC187" s="37"/>
      <c r="BD187" s="37"/>
      <c r="BE187" s="37"/>
      <c r="BF187" s="37"/>
      <c r="BG187" s="37"/>
      <c r="BH187" s="37"/>
      <c r="BI187" s="37"/>
      <c r="BJ187" s="37"/>
      <c r="BK187" s="37"/>
      <c r="BL187" s="38"/>
    </row>
    <row r="188" ht="15.75" spans="2:64">
      <c r="B188" s="69"/>
      <c r="C188" s="112"/>
      <c r="D188" s="71"/>
      <c r="E188" s="58"/>
      <c r="F188" s="70"/>
      <c r="G188" s="70"/>
      <c r="H188" s="72"/>
      <c r="I188" s="73"/>
      <c r="O188" s="69"/>
      <c r="P188" s="70"/>
      <c r="Q188" s="71"/>
      <c r="R188" s="70"/>
      <c r="S188" s="70"/>
      <c r="T188" s="70"/>
      <c r="U188" s="72"/>
      <c r="V188" s="73"/>
      <c r="W188" s="94" t="s">
        <v>52</v>
      </c>
      <c r="X188" s="95" t="s">
        <v>27</v>
      </c>
      <c r="Y188" s="95" t="s">
        <v>65</v>
      </c>
      <c r="AB188" s="69"/>
      <c r="AC188" s="70"/>
      <c r="AD188" s="71"/>
      <c r="AE188" s="70"/>
      <c r="AF188" s="70"/>
      <c r="AG188" s="70"/>
      <c r="AH188" s="72"/>
      <c r="AI188" s="73"/>
      <c r="AO188" s="39" t="s">
        <v>12</v>
      </c>
      <c r="AP188" s="40" t="s">
        <v>13</v>
      </c>
      <c r="AQ188" s="41"/>
      <c r="AR188" s="42" t="s">
        <v>14</v>
      </c>
      <c r="AS188" s="43"/>
      <c r="AT188" s="44" t="s">
        <v>15</v>
      </c>
      <c r="AU188" s="45"/>
      <c r="AV188" s="46"/>
      <c r="AW188" s="47" t="s">
        <v>16</v>
      </c>
      <c r="AX188" s="48"/>
      <c r="AY188" s="49">
        <f>AP214+AR214</f>
        <v>4894</v>
      </c>
      <c r="BB188" s="39" t="s">
        <v>12</v>
      </c>
      <c r="BC188" s="40" t="s">
        <v>13</v>
      </c>
      <c r="BD188" s="41"/>
      <c r="BE188" s="42" t="s">
        <v>14</v>
      </c>
      <c r="BF188" s="43"/>
      <c r="BG188" s="44" t="s">
        <v>15</v>
      </c>
      <c r="BH188" s="45"/>
      <c r="BI188" s="46"/>
      <c r="BJ188" s="47" t="s">
        <v>16</v>
      </c>
      <c r="BK188" s="48"/>
      <c r="BL188" s="49">
        <f>BC210+BE210</f>
        <v>2042</v>
      </c>
    </row>
    <row r="189" ht="15.75" spans="2:64">
      <c r="B189" s="102">
        <f t="shared" ref="B189:G189" si="35">SUM(B171:B188)</f>
        <v>1253</v>
      </c>
      <c r="C189" s="103">
        <f t="shared" si="35"/>
        <v>1674</v>
      </c>
      <c r="D189" s="104">
        <f t="shared" si="35"/>
        <v>192</v>
      </c>
      <c r="E189" s="105">
        <f t="shared" si="35"/>
        <v>235</v>
      </c>
      <c r="F189" s="106">
        <f t="shared" si="35"/>
        <v>35.25</v>
      </c>
      <c r="G189" s="107">
        <f t="shared" si="35"/>
        <v>2787.5</v>
      </c>
      <c r="H189" s="108" t="s">
        <v>54</v>
      </c>
      <c r="I189" s="109"/>
      <c r="O189" s="59"/>
      <c r="P189" s="60"/>
      <c r="Q189" s="61"/>
      <c r="R189" s="62"/>
      <c r="S189" s="61"/>
      <c r="T189" s="61"/>
      <c r="U189" s="75"/>
      <c r="V189" s="76"/>
      <c r="W189" s="77"/>
      <c r="X189" s="77"/>
      <c r="Y189" s="87"/>
      <c r="AB189" s="102">
        <f t="shared" ref="AB189:AG189" si="36">SUM(AB167:AB188)</f>
        <v>2986</v>
      </c>
      <c r="AC189" s="103">
        <f t="shared" si="36"/>
        <v>3971</v>
      </c>
      <c r="AD189" s="104">
        <f t="shared" si="36"/>
        <v>316</v>
      </c>
      <c r="AE189" s="105">
        <f t="shared" si="36"/>
        <v>4139</v>
      </c>
      <c r="AF189" s="106">
        <f t="shared" si="36"/>
        <v>465.75</v>
      </c>
      <c r="AG189" s="107">
        <f t="shared" si="36"/>
        <v>4664</v>
      </c>
      <c r="AH189" s="108" t="s">
        <v>54</v>
      </c>
      <c r="AI189" s="109"/>
      <c r="AO189" s="50"/>
      <c r="AP189" s="51" t="s">
        <v>17</v>
      </c>
      <c r="AQ189" s="51" t="s">
        <v>18</v>
      </c>
      <c r="AR189" s="52" t="s">
        <v>17</v>
      </c>
      <c r="AS189" s="52" t="s">
        <v>18</v>
      </c>
      <c r="AT189" s="53"/>
      <c r="AU189" s="54"/>
      <c r="AV189" s="55"/>
      <c r="AW189" s="56" t="s">
        <v>19</v>
      </c>
      <c r="AX189" s="57"/>
      <c r="AY189" s="49">
        <f>AQ214+AS214</f>
        <v>400.7</v>
      </c>
      <c r="BB189" s="50"/>
      <c r="BC189" s="51" t="s">
        <v>17</v>
      </c>
      <c r="BD189" s="51" t="s">
        <v>18</v>
      </c>
      <c r="BE189" s="52" t="s">
        <v>17</v>
      </c>
      <c r="BF189" s="52" t="s">
        <v>18</v>
      </c>
      <c r="BG189" s="53"/>
      <c r="BH189" s="54"/>
      <c r="BI189" s="55"/>
      <c r="BJ189" s="56" t="s">
        <v>19</v>
      </c>
      <c r="BK189" s="57"/>
      <c r="BL189" s="49">
        <f>BD210+BF210</f>
        <v>204.8</v>
      </c>
    </row>
    <row r="190" ht="15.75" spans="2:64">
      <c r="O190" s="69"/>
      <c r="P190" s="71"/>
      <c r="Q190" s="71"/>
      <c r="R190" s="70"/>
      <c r="S190" s="70"/>
      <c r="T190" s="70"/>
      <c r="U190" s="72"/>
      <c r="V190" s="73"/>
      <c r="W190" s="58"/>
      <c r="AO190" s="59">
        <v>2106</v>
      </c>
      <c r="AP190" s="68">
        <v>871</v>
      </c>
      <c r="AQ190" s="61">
        <v>49</v>
      </c>
      <c r="AR190" s="62"/>
      <c r="AS190" s="61"/>
      <c r="AT190" s="61">
        <v>30</v>
      </c>
      <c r="AU190" s="63" t="s">
        <v>29</v>
      </c>
      <c r="AV190" s="64"/>
      <c r="AW190" s="65" t="s">
        <v>21</v>
      </c>
      <c r="AX190" s="66"/>
      <c r="AY190" s="67">
        <f>AT214</f>
        <v>30</v>
      </c>
      <c r="BB190" s="59">
        <v>1205</v>
      </c>
      <c r="BC190" s="68">
        <v>108</v>
      </c>
      <c r="BD190" s="61">
        <v>20</v>
      </c>
      <c r="BE190" s="62"/>
      <c r="BF190" s="61"/>
      <c r="BG190" s="61">
        <v>37.7</v>
      </c>
      <c r="BH190" s="63" t="s">
        <v>58</v>
      </c>
      <c r="BI190" s="64"/>
      <c r="BJ190" s="65" t="s">
        <v>21</v>
      </c>
      <c r="BK190" s="66"/>
      <c r="BL190" s="67">
        <f>BG210</f>
        <v>1178.7</v>
      </c>
    </row>
    <row r="191" ht="15.75" spans="2:64">
      <c r="O191" s="59"/>
      <c r="P191" s="61"/>
      <c r="Q191" s="61"/>
      <c r="R191" s="62"/>
      <c r="S191" s="61"/>
      <c r="T191" s="61"/>
      <c r="U191" s="75"/>
      <c r="V191" s="76"/>
      <c r="W191" s="58"/>
      <c r="AO191" s="69"/>
      <c r="AP191" s="70">
        <v>235</v>
      </c>
      <c r="AQ191" s="71">
        <v>30</v>
      </c>
      <c r="AR191" s="70"/>
      <c r="AS191" s="70"/>
      <c r="AT191" s="70"/>
      <c r="AU191" s="72"/>
      <c r="AV191" s="73"/>
      <c r="AW191" s="74" t="s">
        <v>26</v>
      </c>
      <c r="AX191" s="57"/>
      <c r="AY191" s="49">
        <f>AO214+AY188+AY189-AY190-AR214-AS214</f>
        <v>5503</v>
      </c>
      <c r="BB191" s="69"/>
      <c r="BC191" s="70">
        <v>378</v>
      </c>
      <c r="BD191" s="71">
        <v>27</v>
      </c>
      <c r="BE191" s="70"/>
      <c r="BF191" s="70"/>
      <c r="BG191" s="70">
        <v>25</v>
      </c>
      <c r="BH191" s="72" t="s">
        <v>29</v>
      </c>
      <c r="BI191" s="73"/>
      <c r="BJ191" s="74" t="s">
        <v>26</v>
      </c>
      <c r="BK191" s="57"/>
      <c r="BL191" s="49">
        <f>BB210+BL188+BL189-BL190-BE210-BF210</f>
        <v>980.3</v>
      </c>
    </row>
    <row r="192" spans="2:64">
      <c r="B192" s="33" t="s">
        <v>137</v>
      </c>
      <c r="C192" s="34"/>
      <c r="D192" s="34"/>
      <c r="E192" s="34"/>
      <c r="F192" s="34"/>
      <c r="G192" s="34"/>
      <c r="H192" s="34"/>
      <c r="I192" s="34"/>
      <c r="J192" s="34"/>
      <c r="K192" s="34"/>
      <c r="L192" s="35"/>
      <c r="O192" s="69"/>
      <c r="P192" s="112"/>
      <c r="Q192" s="71"/>
      <c r="R192" s="58"/>
      <c r="S192" s="70"/>
      <c r="T192" s="70"/>
      <c r="U192" s="72"/>
      <c r="V192" s="73"/>
      <c r="AB192" s="33" t="s">
        <v>138</v>
      </c>
      <c r="AC192" s="34"/>
      <c r="AD192" s="34"/>
      <c r="AE192" s="34"/>
      <c r="AF192" s="34"/>
      <c r="AG192" s="34"/>
      <c r="AH192" s="34"/>
      <c r="AI192" s="34"/>
      <c r="AJ192" s="34"/>
      <c r="AK192" s="34"/>
      <c r="AL192" s="35"/>
      <c r="AO192" s="59"/>
      <c r="AP192" s="60"/>
      <c r="AQ192" s="61"/>
      <c r="AR192" s="62">
        <v>330</v>
      </c>
      <c r="AS192" s="61">
        <v>33</v>
      </c>
      <c r="AT192" s="61"/>
      <c r="AU192" s="75"/>
      <c r="AV192" s="76"/>
      <c r="AW192" s="77"/>
      <c r="AX192" s="78" t="s">
        <v>30</v>
      </c>
      <c r="AY192" s="79">
        <f>AY189/4</f>
        <v>100.175</v>
      </c>
      <c r="BB192" s="59"/>
      <c r="BC192" s="60">
        <v>30</v>
      </c>
      <c r="BD192" s="61"/>
      <c r="BE192" s="62"/>
      <c r="BF192" s="61"/>
      <c r="BG192" s="61">
        <v>35</v>
      </c>
      <c r="BH192" s="75" t="s">
        <v>108</v>
      </c>
      <c r="BI192" s="76"/>
      <c r="BJ192" s="77"/>
      <c r="BK192" s="78" t="s">
        <v>30</v>
      </c>
      <c r="BL192" s="79">
        <f>BL189/4</f>
        <v>51.2</v>
      </c>
    </row>
    <row r="193" ht="15.75" spans="2:64">
      <c r="B193" s="36"/>
      <c r="C193" s="37"/>
      <c r="D193" s="37"/>
      <c r="E193" s="37"/>
      <c r="F193" s="37"/>
      <c r="G193" s="37"/>
      <c r="H193" s="37"/>
      <c r="I193" s="37"/>
      <c r="J193" s="37"/>
      <c r="K193" s="37"/>
      <c r="L193" s="38"/>
      <c r="O193" s="59"/>
      <c r="P193" s="60"/>
      <c r="Q193" s="61"/>
      <c r="R193" s="62"/>
      <c r="S193" s="61"/>
      <c r="T193" s="61"/>
      <c r="U193" s="75"/>
      <c r="V193" s="76"/>
      <c r="AB193" s="36"/>
      <c r="AC193" s="37"/>
      <c r="AD193" s="37"/>
      <c r="AE193" s="37"/>
      <c r="AF193" s="37"/>
      <c r="AG193" s="37"/>
      <c r="AH193" s="37"/>
      <c r="AI193" s="37"/>
      <c r="AJ193" s="37"/>
      <c r="AK193" s="37"/>
      <c r="AL193" s="38"/>
      <c r="AO193" s="69"/>
      <c r="AP193" s="70"/>
      <c r="AQ193" s="71"/>
      <c r="AR193" s="70">
        <v>30</v>
      </c>
      <c r="AS193" s="70"/>
      <c r="AT193" s="70"/>
      <c r="AU193" s="72"/>
      <c r="AV193" s="73"/>
      <c r="AW193" s="77"/>
      <c r="AX193" s="80" t="s">
        <v>34</v>
      </c>
      <c r="AY193" s="81">
        <f>AY189/6</f>
        <v>66.7833333333333</v>
      </c>
      <c r="BB193" s="69"/>
      <c r="BC193" s="70"/>
      <c r="BD193" s="71">
        <v>45</v>
      </c>
      <c r="BE193" s="70">
        <v>492</v>
      </c>
      <c r="BF193" s="70"/>
      <c r="BG193" s="70">
        <v>311</v>
      </c>
      <c r="BH193" s="72" t="s">
        <v>139</v>
      </c>
      <c r="BI193" s="73"/>
      <c r="BJ193" s="77"/>
      <c r="BK193" s="80" t="s">
        <v>34</v>
      </c>
      <c r="BL193" s="81">
        <f>BL189/6</f>
        <v>34.1333333333333</v>
      </c>
    </row>
    <row r="194" ht="15.75" spans="2:64">
      <c r="B194" s="39" t="s">
        <v>12</v>
      </c>
      <c r="C194" s="40" t="s">
        <v>13</v>
      </c>
      <c r="D194" s="41"/>
      <c r="E194" s="42" t="s">
        <v>14</v>
      </c>
      <c r="F194" s="43"/>
      <c r="G194" s="44" t="s">
        <v>15</v>
      </c>
      <c r="H194" s="45"/>
      <c r="I194" s="46"/>
      <c r="J194" s="47" t="s">
        <v>16</v>
      </c>
      <c r="K194" s="48"/>
      <c r="L194" s="49">
        <f>C220+E220</f>
        <v>6294</v>
      </c>
      <c r="O194" s="96"/>
      <c r="P194" s="97"/>
      <c r="Q194" s="98"/>
      <c r="R194" s="99"/>
      <c r="S194" s="98"/>
      <c r="T194" s="98"/>
      <c r="U194" s="72"/>
      <c r="V194" s="73"/>
      <c r="AB194" s="39" t="s">
        <v>12</v>
      </c>
      <c r="AC194" s="40" t="s">
        <v>13</v>
      </c>
      <c r="AD194" s="41"/>
      <c r="AE194" s="42" t="s">
        <v>14</v>
      </c>
      <c r="AF194" s="43"/>
      <c r="AG194" s="44" t="s">
        <v>15</v>
      </c>
      <c r="AH194" s="45"/>
      <c r="AI194" s="46"/>
      <c r="AJ194" s="47" t="s">
        <v>16</v>
      </c>
      <c r="AK194" s="48"/>
      <c r="AL194" s="49">
        <f>AC217+AE217</f>
        <v>4946</v>
      </c>
      <c r="AO194" s="59"/>
      <c r="AP194" s="60"/>
      <c r="AQ194" s="61"/>
      <c r="AR194" s="62">
        <v>267</v>
      </c>
      <c r="AS194" s="61">
        <v>26.7</v>
      </c>
      <c r="AT194" s="61"/>
      <c r="AU194" s="75"/>
      <c r="AV194" s="84"/>
      <c r="AW194" s="77"/>
      <c r="AX194" s="82" t="s">
        <v>37</v>
      </c>
      <c r="AY194" s="83">
        <f>AY189/8</f>
        <v>50.0875</v>
      </c>
      <c r="BB194" s="59"/>
      <c r="BC194" s="60"/>
      <c r="BD194" s="61"/>
      <c r="BE194" s="62">
        <v>728</v>
      </c>
      <c r="BF194" s="61">
        <v>72.8</v>
      </c>
      <c r="BG194" s="61">
        <v>770</v>
      </c>
      <c r="BH194" s="75" t="s">
        <v>39</v>
      </c>
      <c r="BI194" s="84"/>
      <c r="BJ194" s="77"/>
      <c r="BK194" s="82" t="s">
        <v>37</v>
      </c>
      <c r="BL194" s="83">
        <f>BL189/8</f>
        <v>25.6</v>
      </c>
    </row>
    <row r="195" ht="15.75" spans="2:64">
      <c r="B195" s="50"/>
      <c r="C195" s="51" t="s">
        <v>17</v>
      </c>
      <c r="D195" s="51" t="s">
        <v>18</v>
      </c>
      <c r="E195" s="52" t="s">
        <v>17</v>
      </c>
      <c r="F195" s="52" t="s">
        <v>18</v>
      </c>
      <c r="G195" s="53"/>
      <c r="H195" s="54"/>
      <c r="I195" s="55"/>
      <c r="J195" s="56" t="s">
        <v>19</v>
      </c>
      <c r="K195" s="57"/>
      <c r="L195" s="49">
        <f>D220+F220</f>
        <v>742.4</v>
      </c>
      <c r="O195" s="59"/>
      <c r="P195" s="60"/>
      <c r="Q195" s="61"/>
      <c r="R195" s="62"/>
      <c r="S195" s="61"/>
      <c r="T195" s="61"/>
      <c r="U195" s="75"/>
      <c r="V195" s="76"/>
      <c r="AB195" s="50"/>
      <c r="AC195" s="51" t="s">
        <v>17</v>
      </c>
      <c r="AD195" s="51" t="s">
        <v>18</v>
      </c>
      <c r="AE195" s="52" t="s">
        <v>17</v>
      </c>
      <c r="AF195" s="52" t="s">
        <v>18</v>
      </c>
      <c r="AG195" s="53"/>
      <c r="AH195" s="54"/>
      <c r="AI195" s="55"/>
      <c r="AJ195" s="56" t="s">
        <v>19</v>
      </c>
      <c r="AK195" s="57"/>
      <c r="AL195" s="49">
        <f>AD217+AF217</f>
        <v>297.75</v>
      </c>
      <c r="AO195" s="69"/>
      <c r="AP195" s="70">
        <v>517</v>
      </c>
      <c r="AQ195" s="85">
        <v>43</v>
      </c>
      <c r="AR195" s="70"/>
      <c r="AS195" s="70"/>
      <c r="AT195" s="70"/>
      <c r="AU195" s="72"/>
      <c r="AV195" s="73"/>
      <c r="AW195" s="86"/>
      <c r="AX195" s="77"/>
      <c r="AY195" s="87"/>
      <c r="BB195" s="69"/>
      <c r="BC195" s="70">
        <v>306</v>
      </c>
      <c r="BD195" s="85">
        <v>40</v>
      </c>
      <c r="BE195" s="70"/>
      <c r="BF195" s="70"/>
      <c r="BG195" s="70"/>
      <c r="BH195" s="72"/>
      <c r="BI195" s="73"/>
      <c r="BJ195" s="86"/>
      <c r="BK195" s="77"/>
      <c r="BL195" s="87"/>
    </row>
    <row r="196" ht="15.75" spans="2:64">
      <c r="B196" s="59">
        <v>331.5</v>
      </c>
      <c r="C196" s="60"/>
      <c r="D196" s="61"/>
      <c r="E196" s="62"/>
      <c r="F196" s="61"/>
      <c r="G196" s="61">
        <v>20.1</v>
      </c>
      <c r="H196" s="63" t="s">
        <v>111</v>
      </c>
      <c r="I196" s="64"/>
      <c r="J196" s="65" t="s">
        <v>21</v>
      </c>
      <c r="K196" s="66"/>
      <c r="L196" s="67">
        <f>G220</f>
        <v>438.1</v>
      </c>
      <c r="O196" s="96"/>
      <c r="P196" s="97"/>
      <c r="Q196" s="98"/>
      <c r="R196" s="99"/>
      <c r="S196" s="98"/>
      <c r="T196" s="98"/>
      <c r="U196" s="100"/>
      <c r="V196" s="101"/>
      <c r="AB196" s="59">
        <v>2608</v>
      </c>
      <c r="AC196" s="60">
        <v>305</v>
      </c>
      <c r="AD196" s="61">
        <v>20</v>
      </c>
      <c r="AE196" s="62"/>
      <c r="AF196" s="61"/>
      <c r="AG196" s="61">
        <v>5</v>
      </c>
      <c r="AH196" s="63" t="s">
        <v>77</v>
      </c>
      <c r="AI196" s="64"/>
      <c r="AJ196" s="65" t="s">
        <v>21</v>
      </c>
      <c r="AK196" s="66"/>
      <c r="AL196" s="67">
        <f>AG217</f>
        <v>4896</v>
      </c>
      <c r="AO196" s="59"/>
      <c r="AP196" s="60">
        <v>860</v>
      </c>
      <c r="AQ196" s="61">
        <v>82</v>
      </c>
      <c r="AR196" s="62"/>
      <c r="AS196" s="61"/>
      <c r="AT196" s="61"/>
      <c r="AU196" s="75"/>
      <c r="AV196" s="84"/>
      <c r="AW196" s="77"/>
      <c r="AX196" s="58"/>
      <c r="AY196" s="58"/>
      <c r="BB196" s="59"/>
      <c r="BC196" s="60"/>
      <c r="BD196" s="61"/>
      <c r="BE196" s="62"/>
      <c r="BF196" s="61"/>
      <c r="BG196" s="61"/>
      <c r="BH196" s="75"/>
      <c r="BI196" s="84"/>
      <c r="BJ196" s="77"/>
      <c r="BK196" s="58"/>
      <c r="BL196" s="58"/>
    </row>
    <row r="197" ht="15.75" spans="2:64">
      <c r="B197" s="69">
        <v>500</v>
      </c>
      <c r="C197" s="70"/>
      <c r="D197" s="71"/>
      <c r="E197" s="70"/>
      <c r="F197" s="70"/>
      <c r="G197" s="70">
        <v>16.5</v>
      </c>
      <c r="H197" s="72" t="s">
        <v>140</v>
      </c>
      <c r="I197" s="73"/>
      <c r="J197" s="74" t="s">
        <v>26</v>
      </c>
      <c r="K197" s="57"/>
      <c r="L197" s="49">
        <f>B220+L194+L195-L196-E220-F220</f>
        <v>3679.4</v>
      </c>
      <c r="O197" s="102">
        <f t="shared" ref="O197:T197" si="37">SUM(O177:O196)</f>
        <v>4135</v>
      </c>
      <c r="P197" s="103">
        <f t="shared" si="37"/>
        <v>170</v>
      </c>
      <c r="Q197" s="104">
        <f t="shared" si="37"/>
        <v>20</v>
      </c>
      <c r="R197" s="105">
        <f t="shared" si="37"/>
        <v>2940</v>
      </c>
      <c r="S197" s="106">
        <f t="shared" si="37"/>
        <v>213.1</v>
      </c>
      <c r="T197" s="107">
        <f t="shared" si="37"/>
        <v>3599</v>
      </c>
      <c r="U197" s="108" t="s">
        <v>54</v>
      </c>
      <c r="V197" s="109"/>
      <c r="AB197" s="69">
        <v>500</v>
      </c>
      <c r="AC197" s="70"/>
      <c r="AD197" s="71"/>
      <c r="AE197" s="70">
        <v>217</v>
      </c>
      <c r="AF197" s="70">
        <v>32.55</v>
      </c>
      <c r="AG197" s="70">
        <v>49</v>
      </c>
      <c r="AH197" s="72" t="s">
        <v>28</v>
      </c>
      <c r="AI197" s="73"/>
      <c r="AJ197" s="74" t="s">
        <v>26</v>
      </c>
      <c r="AK197" s="57"/>
      <c r="AL197" s="49">
        <f>AB217+AL194+AL195-AL196-AE217-AF217</f>
        <v>1930</v>
      </c>
      <c r="AO197" s="69"/>
      <c r="AP197" s="70"/>
      <c r="AQ197" s="85">
        <v>100</v>
      </c>
      <c r="AR197" s="70">
        <v>656</v>
      </c>
      <c r="AS197" s="70"/>
      <c r="AT197" s="70"/>
      <c r="AU197" s="72"/>
      <c r="AV197" s="73"/>
      <c r="AW197" s="77"/>
      <c r="AX197" s="58"/>
      <c r="AY197" s="58"/>
      <c r="BB197" s="69"/>
      <c r="BC197" s="70"/>
      <c r="BD197" s="85"/>
      <c r="BE197" s="70"/>
      <c r="BF197" s="70"/>
      <c r="BG197" s="70"/>
      <c r="BH197" s="72"/>
      <c r="BI197" s="73"/>
      <c r="BJ197" s="77"/>
      <c r="BK197" s="58"/>
      <c r="BL197" s="58"/>
    </row>
    <row r="198" spans="2:64">
      <c r="B198" s="59"/>
      <c r="C198" s="60"/>
      <c r="D198" s="61"/>
      <c r="E198" s="62"/>
      <c r="F198" s="61"/>
      <c r="G198" s="61">
        <v>41.5</v>
      </c>
      <c r="H198" s="75" t="s">
        <v>141</v>
      </c>
      <c r="I198" s="76"/>
      <c r="J198" s="77"/>
      <c r="K198" s="78" t="s">
        <v>30</v>
      </c>
      <c r="L198" s="79">
        <f>L195/4</f>
        <v>185.6</v>
      </c>
      <c r="AB198" s="59"/>
      <c r="AC198" s="60"/>
      <c r="AD198" s="61"/>
      <c r="AE198" s="62">
        <v>649</v>
      </c>
      <c r="AF198" s="61"/>
      <c r="AG198" s="61">
        <v>28</v>
      </c>
      <c r="AH198" s="75" t="s">
        <v>142</v>
      </c>
      <c r="AI198" s="76"/>
      <c r="AJ198" s="77"/>
      <c r="AK198" s="78" t="s">
        <v>30</v>
      </c>
      <c r="AL198" s="79">
        <f>AL195/4</f>
        <v>74.4375</v>
      </c>
      <c r="AO198" s="59"/>
      <c r="AP198" s="60"/>
      <c r="AQ198" s="61"/>
      <c r="AR198" s="62">
        <v>110</v>
      </c>
      <c r="AS198" s="61"/>
      <c r="AT198" s="61"/>
      <c r="AU198" s="75"/>
      <c r="AV198" s="84"/>
      <c r="AW198" s="77"/>
      <c r="AX198" s="58"/>
      <c r="AY198" s="58"/>
      <c r="BB198" s="59"/>
      <c r="BC198" s="60"/>
      <c r="BD198" s="61"/>
      <c r="BE198" s="62"/>
      <c r="BF198" s="61"/>
      <c r="BG198" s="61"/>
      <c r="BH198" s="75"/>
      <c r="BI198" s="84"/>
      <c r="BJ198" s="77"/>
      <c r="BK198" s="58"/>
      <c r="BL198" s="58"/>
    </row>
    <row r="199" ht="15.75" spans="2:64">
      <c r="B199" s="69"/>
      <c r="C199" s="70"/>
      <c r="D199" s="71"/>
      <c r="E199" s="70"/>
      <c r="F199" s="70"/>
      <c r="G199" s="70">
        <v>50</v>
      </c>
      <c r="H199" s="72" t="s">
        <v>20</v>
      </c>
      <c r="I199" s="73"/>
      <c r="J199" s="77"/>
      <c r="K199" s="80" t="s">
        <v>34</v>
      </c>
      <c r="L199" s="81">
        <f>L195/6</f>
        <v>123.733333333333</v>
      </c>
      <c r="AB199" s="69"/>
      <c r="AC199" s="70"/>
      <c r="AD199" s="71"/>
      <c r="AE199" s="70">
        <v>142</v>
      </c>
      <c r="AF199" s="70">
        <v>21</v>
      </c>
      <c r="AG199" s="70">
        <v>300</v>
      </c>
      <c r="AH199" s="72" t="s">
        <v>143</v>
      </c>
      <c r="AI199" s="73"/>
      <c r="AJ199" s="77"/>
      <c r="AK199" s="80" t="s">
        <v>34</v>
      </c>
      <c r="AL199" s="81">
        <f>AL195/6</f>
        <v>49.625</v>
      </c>
      <c r="AO199" s="69"/>
      <c r="AP199" s="70">
        <v>355</v>
      </c>
      <c r="AQ199" s="85"/>
      <c r="AR199" s="70"/>
      <c r="AS199" s="70"/>
      <c r="AT199" s="70"/>
      <c r="AU199" s="72"/>
      <c r="AV199" s="73"/>
      <c r="AW199" s="89" t="s">
        <v>44</v>
      </c>
      <c r="AX199" s="90" t="s">
        <v>45</v>
      </c>
      <c r="AY199" s="90" t="s">
        <v>46</v>
      </c>
      <c r="BB199" s="69"/>
      <c r="BC199" s="70"/>
      <c r="BD199" s="85"/>
      <c r="BE199" s="70"/>
      <c r="BF199" s="70"/>
      <c r="BG199" s="70"/>
      <c r="BH199" s="72"/>
      <c r="BI199" s="73"/>
      <c r="BJ199" s="89" t="s">
        <v>44</v>
      </c>
      <c r="BK199" s="90" t="s">
        <v>45</v>
      </c>
      <c r="BL199" s="90" t="s">
        <v>46</v>
      </c>
    </row>
    <row r="200" spans="2:64">
      <c r="B200" s="59"/>
      <c r="C200" s="60"/>
      <c r="D200" s="61"/>
      <c r="E200" s="62"/>
      <c r="F200" s="61"/>
      <c r="G200" s="61">
        <v>170</v>
      </c>
      <c r="H200" s="75" t="s">
        <v>144</v>
      </c>
      <c r="I200" s="76"/>
      <c r="J200" s="77"/>
      <c r="K200" s="82" t="s">
        <v>37</v>
      </c>
      <c r="L200" s="83">
        <f>L195/8</f>
        <v>92.8</v>
      </c>
      <c r="O200" s="33" t="s">
        <v>145</v>
      </c>
      <c r="P200" s="34"/>
      <c r="Q200" s="34"/>
      <c r="R200" s="34"/>
      <c r="S200" s="34"/>
      <c r="T200" s="34"/>
      <c r="U200" s="34"/>
      <c r="V200" s="34"/>
      <c r="W200" s="34"/>
      <c r="X200" s="34"/>
      <c r="Y200" s="35"/>
      <c r="AB200" s="59"/>
      <c r="AC200" s="60">
        <v>153</v>
      </c>
      <c r="AD200" s="61"/>
      <c r="AE200" s="62"/>
      <c r="AF200" s="61"/>
      <c r="AG200" s="61">
        <v>304</v>
      </c>
      <c r="AH200" s="75" t="s">
        <v>41</v>
      </c>
      <c r="AI200" s="76"/>
      <c r="AJ200" s="77"/>
      <c r="AK200" s="82" t="s">
        <v>37</v>
      </c>
      <c r="AL200" s="83">
        <f>AL195/8</f>
        <v>37.21875</v>
      </c>
      <c r="AO200" s="59"/>
      <c r="AP200" s="60">
        <v>95</v>
      </c>
      <c r="AQ200" s="61"/>
      <c r="AR200" s="62"/>
      <c r="AS200" s="61"/>
      <c r="AT200" s="61"/>
      <c r="AU200" s="75"/>
      <c r="AV200" s="84"/>
      <c r="AW200" s="92" t="s">
        <v>47</v>
      </c>
      <c r="AX200" s="93" t="s">
        <v>51</v>
      </c>
      <c r="AY200" s="93" t="s">
        <v>43</v>
      </c>
      <c r="BB200" s="59"/>
      <c r="BC200" s="60"/>
      <c r="BD200" s="61"/>
      <c r="BE200" s="62"/>
      <c r="BF200" s="61"/>
      <c r="BG200" s="61"/>
      <c r="BH200" s="75"/>
      <c r="BI200" s="84"/>
      <c r="BJ200" s="92" t="s">
        <v>47</v>
      </c>
      <c r="BK200" s="93" t="s">
        <v>27</v>
      </c>
      <c r="BL200" s="93" t="s">
        <v>43</v>
      </c>
    </row>
    <row r="201" ht="15.75" spans="2:64">
      <c r="B201" s="69"/>
      <c r="C201" s="70">
        <v>595</v>
      </c>
      <c r="D201" s="85">
        <v>71</v>
      </c>
      <c r="E201" s="70"/>
      <c r="F201" s="70"/>
      <c r="G201" s="70">
        <v>55</v>
      </c>
      <c r="H201" s="72" t="s">
        <v>146</v>
      </c>
      <c r="I201" s="73"/>
      <c r="J201" s="86"/>
      <c r="K201" s="77"/>
      <c r="L201" s="87"/>
      <c r="O201" s="36"/>
      <c r="P201" s="37"/>
      <c r="Q201" s="37"/>
      <c r="R201" s="37"/>
      <c r="S201" s="37"/>
      <c r="T201" s="37"/>
      <c r="U201" s="37"/>
      <c r="V201" s="37"/>
      <c r="W201" s="37"/>
      <c r="X201" s="37"/>
      <c r="Y201" s="38"/>
      <c r="AB201" s="69"/>
      <c r="AC201" s="70">
        <v>1153</v>
      </c>
      <c r="AD201" s="85">
        <v>27</v>
      </c>
      <c r="AE201" s="70"/>
      <c r="AF201" s="70"/>
      <c r="AG201" s="70">
        <v>2315</v>
      </c>
      <c r="AH201" s="72" t="s">
        <v>38</v>
      </c>
      <c r="AI201" s="73"/>
      <c r="AJ201" s="86"/>
      <c r="AK201" s="77"/>
      <c r="AL201" s="87"/>
      <c r="AO201" s="69"/>
      <c r="AP201" s="70"/>
      <c r="AQ201" s="85">
        <v>30</v>
      </c>
      <c r="AR201" s="70">
        <v>415</v>
      </c>
      <c r="AS201" s="70"/>
      <c r="AT201" s="70"/>
      <c r="AU201" s="72"/>
      <c r="AV201" s="73"/>
      <c r="AW201" s="94" t="s">
        <v>52</v>
      </c>
      <c r="AX201" s="95" t="s">
        <v>27</v>
      </c>
      <c r="AY201" s="95" t="s">
        <v>67</v>
      </c>
      <c r="BB201" s="69"/>
      <c r="BC201" s="70"/>
      <c r="BD201" s="85"/>
      <c r="BE201" s="70"/>
      <c r="BF201" s="70"/>
      <c r="BG201" s="70"/>
      <c r="BH201" s="72"/>
      <c r="BI201" s="73"/>
      <c r="BJ201" s="94" t="s">
        <v>52</v>
      </c>
      <c r="BK201" s="95" t="s">
        <v>48</v>
      </c>
      <c r="BL201" s="95" t="s">
        <v>65</v>
      </c>
    </row>
    <row r="202" ht="15.75" spans="2:64">
      <c r="B202" s="59"/>
      <c r="C202" s="60"/>
      <c r="D202" s="61"/>
      <c r="E202" s="62">
        <v>595</v>
      </c>
      <c r="F202" s="61">
        <v>89.25</v>
      </c>
      <c r="G202" s="61">
        <v>85</v>
      </c>
      <c r="H202" s="75" t="s">
        <v>147</v>
      </c>
      <c r="I202" s="76"/>
      <c r="J202" s="77"/>
      <c r="K202" s="58"/>
      <c r="L202" s="58"/>
      <c r="O202" s="39" t="s">
        <v>12</v>
      </c>
      <c r="P202" s="40" t="s">
        <v>13</v>
      </c>
      <c r="Q202" s="41"/>
      <c r="R202" s="42" t="s">
        <v>14</v>
      </c>
      <c r="S202" s="43"/>
      <c r="T202" s="44" t="s">
        <v>15</v>
      </c>
      <c r="U202" s="45"/>
      <c r="V202" s="46"/>
      <c r="W202" s="47" t="s">
        <v>16</v>
      </c>
      <c r="X202" s="48"/>
      <c r="Y202" s="49">
        <f>P240+R240</f>
        <v>10608</v>
      </c>
      <c r="AB202" s="59"/>
      <c r="AC202" s="60">
        <v>155</v>
      </c>
      <c r="AD202" s="61">
        <v>25</v>
      </c>
      <c r="AE202" s="62"/>
      <c r="AF202" s="61"/>
      <c r="AG202" s="61">
        <v>1895</v>
      </c>
      <c r="AH202" s="75" t="s">
        <v>43</v>
      </c>
      <c r="AI202" s="76"/>
      <c r="AJ202" s="77"/>
      <c r="AK202" s="58"/>
      <c r="AL202" s="58"/>
      <c r="AO202" s="59"/>
      <c r="AP202" s="60">
        <v>153</v>
      </c>
      <c r="AQ202" s="61">
        <v>7</v>
      </c>
      <c r="AR202" s="62"/>
      <c r="AS202" s="61"/>
      <c r="AT202" s="61"/>
      <c r="AU202" s="75"/>
      <c r="AV202" s="84"/>
      <c r="AW202" s="77"/>
      <c r="AX202" s="77"/>
      <c r="AY202" s="87"/>
      <c r="BB202" s="59"/>
      <c r="BC202" s="60"/>
      <c r="BD202" s="61"/>
      <c r="BE202" s="62"/>
      <c r="BF202" s="61"/>
      <c r="BG202" s="61"/>
      <c r="BH202" s="75"/>
      <c r="BI202" s="84"/>
      <c r="BJ202" s="77"/>
      <c r="BK202" s="77"/>
      <c r="BL202" s="87"/>
    </row>
    <row r="203" ht="15.75" spans="2:64">
      <c r="B203" s="69"/>
      <c r="C203" s="70">
        <v>918</v>
      </c>
      <c r="D203" s="71">
        <v>82</v>
      </c>
      <c r="E203" s="70"/>
      <c r="F203" s="70"/>
      <c r="G203" s="70"/>
      <c r="H203" s="72"/>
      <c r="I203" s="73"/>
      <c r="J203" s="77"/>
      <c r="K203" s="58"/>
      <c r="L203" s="58"/>
      <c r="O203" s="50"/>
      <c r="P203" s="51" t="s">
        <v>17</v>
      </c>
      <c r="Q203" s="51" t="s">
        <v>18</v>
      </c>
      <c r="R203" s="52" t="s">
        <v>17</v>
      </c>
      <c r="S203" s="52" t="s">
        <v>18</v>
      </c>
      <c r="T203" s="53"/>
      <c r="U203" s="54"/>
      <c r="V203" s="55"/>
      <c r="W203" s="56" t="s">
        <v>19</v>
      </c>
      <c r="X203" s="57"/>
      <c r="Y203" s="49">
        <f>Q240+S240</f>
        <v>980.2</v>
      </c>
      <c r="AB203" s="69"/>
      <c r="AC203" s="70">
        <v>235</v>
      </c>
      <c r="AD203" s="71">
        <v>20</v>
      </c>
      <c r="AE203" s="70"/>
      <c r="AF203" s="70"/>
      <c r="AG203" s="70"/>
      <c r="AH203" s="72"/>
      <c r="AI203" s="73"/>
      <c r="AJ203" s="77"/>
      <c r="AK203" s="58"/>
      <c r="AL203" s="58"/>
      <c r="AO203" s="69"/>
      <c r="AP203" s="70"/>
      <c r="AQ203" s="85"/>
      <c r="AR203" s="70"/>
      <c r="AS203" s="70"/>
      <c r="AT203" s="70"/>
      <c r="AU203" s="72"/>
      <c r="AV203" s="73"/>
      <c r="AW203" s="58"/>
      <c r="AX203" s="58"/>
      <c r="AY203" s="58"/>
      <c r="BB203" s="96"/>
      <c r="BC203" s="97"/>
      <c r="BD203" s="98"/>
      <c r="BE203" s="99"/>
      <c r="BF203" s="98"/>
      <c r="BG203" s="98"/>
      <c r="BH203" s="72"/>
      <c r="BI203" s="73"/>
    </row>
    <row r="204" ht="15.75" spans="2:64">
      <c r="B204" s="59"/>
      <c r="C204" s="60">
        <v>567</v>
      </c>
      <c r="D204" s="88">
        <v>60</v>
      </c>
      <c r="E204" s="62"/>
      <c r="F204" s="61"/>
      <c r="G204" s="61"/>
      <c r="H204" s="75"/>
      <c r="I204" s="76"/>
      <c r="J204" s="77"/>
      <c r="K204" s="58"/>
      <c r="L204" s="58"/>
      <c r="O204" s="59">
        <v>720</v>
      </c>
      <c r="P204" s="60"/>
      <c r="Q204" s="61"/>
      <c r="R204" s="62">
        <v>228</v>
      </c>
      <c r="S204" s="61">
        <v>22.8</v>
      </c>
      <c r="T204" s="61">
        <v>30</v>
      </c>
      <c r="U204" s="63" t="s">
        <v>60</v>
      </c>
      <c r="V204" s="64"/>
      <c r="W204" s="65" t="s">
        <v>21</v>
      </c>
      <c r="X204" s="66"/>
      <c r="Y204" s="67">
        <f>T240</f>
        <v>835</v>
      </c>
      <c r="AB204" s="59"/>
      <c r="AC204" s="60">
        <v>336</v>
      </c>
      <c r="AD204" s="88">
        <v>14</v>
      </c>
      <c r="AE204" s="62"/>
      <c r="AF204" s="61"/>
      <c r="AG204" s="61"/>
      <c r="AH204" s="75"/>
      <c r="AI204" s="76"/>
      <c r="AJ204" s="77"/>
      <c r="AK204" s="58"/>
      <c r="AL204" s="58"/>
      <c r="AO204" s="59"/>
      <c r="AP204" s="60"/>
      <c r="AQ204" s="61"/>
      <c r="AR204" s="62"/>
      <c r="AS204" s="61"/>
      <c r="AT204" s="61"/>
      <c r="AU204" s="75"/>
      <c r="AV204" s="84"/>
      <c r="AW204" s="58"/>
      <c r="AX204" s="58"/>
      <c r="AY204" s="58"/>
      <c r="BB204" s="59"/>
      <c r="BC204" s="60"/>
      <c r="BD204" s="61"/>
      <c r="BE204" s="62"/>
      <c r="BF204" s="61"/>
      <c r="BG204" s="61"/>
      <c r="BH204" s="75"/>
      <c r="BI204" s="76"/>
    </row>
    <row r="205" ht="15.75" spans="2:64">
      <c r="B205" s="69"/>
      <c r="C205" s="70"/>
      <c r="D205" s="71"/>
      <c r="E205" s="70">
        <v>723</v>
      </c>
      <c r="F205" s="70">
        <v>72.3</v>
      </c>
      <c r="G205" s="70"/>
      <c r="H205" s="72"/>
      <c r="I205" s="73"/>
      <c r="J205" s="89" t="s">
        <v>44</v>
      </c>
      <c r="K205" s="90" t="s">
        <v>45</v>
      </c>
      <c r="L205" s="90" t="s">
        <v>46</v>
      </c>
      <c r="O205" s="69"/>
      <c r="P205" s="70">
        <v>671</v>
      </c>
      <c r="Q205" s="71">
        <v>29</v>
      </c>
      <c r="R205" s="70"/>
      <c r="S205" s="70"/>
      <c r="T205" s="70">
        <v>90</v>
      </c>
      <c r="U205" s="72" t="s">
        <v>148</v>
      </c>
      <c r="V205" s="73"/>
      <c r="W205" s="74" t="s">
        <v>26</v>
      </c>
      <c r="X205" s="57"/>
      <c r="Y205" s="49">
        <f>O240+Y202+Y203-Y204-R240-S240</f>
        <v>5871</v>
      </c>
      <c r="AB205" s="69"/>
      <c r="AC205" s="70">
        <v>8</v>
      </c>
      <c r="AD205" s="71"/>
      <c r="AE205" s="70"/>
      <c r="AF205" s="70"/>
      <c r="AG205" s="70"/>
      <c r="AH205" s="72"/>
      <c r="AI205" s="73"/>
      <c r="AJ205" s="89" t="s">
        <v>44</v>
      </c>
      <c r="AK205" s="90" t="s">
        <v>45</v>
      </c>
      <c r="AL205" s="90" t="s">
        <v>46</v>
      </c>
      <c r="AO205" s="69"/>
      <c r="AP205" s="70"/>
      <c r="AQ205" s="85"/>
      <c r="AR205" s="70"/>
      <c r="AS205" s="70"/>
      <c r="AT205" s="70"/>
      <c r="AU205" s="72"/>
      <c r="AV205" s="73"/>
      <c r="AW205" s="58"/>
      <c r="AX205" s="58"/>
      <c r="AY205" s="58"/>
      <c r="BB205" s="96"/>
      <c r="BC205" s="97"/>
      <c r="BD205" s="98"/>
      <c r="BE205" s="99"/>
      <c r="BF205" s="98"/>
      <c r="BG205" s="98"/>
      <c r="BH205" s="72"/>
      <c r="BI205" s="73"/>
    </row>
    <row r="206" spans="2:64">
      <c r="B206" s="59"/>
      <c r="C206" s="60">
        <v>180</v>
      </c>
      <c r="D206" s="61"/>
      <c r="E206" s="62"/>
      <c r="F206" s="61"/>
      <c r="G206" s="61"/>
      <c r="H206" s="75"/>
      <c r="I206" s="76"/>
      <c r="J206" s="92" t="s">
        <v>47</v>
      </c>
      <c r="K206" s="93" t="s">
        <v>66</v>
      </c>
      <c r="L206" s="93" t="s">
        <v>43</v>
      </c>
      <c r="O206" s="59"/>
      <c r="P206" s="60"/>
      <c r="Q206" s="61"/>
      <c r="R206" s="62">
        <v>655</v>
      </c>
      <c r="S206" s="61">
        <v>65.5</v>
      </c>
      <c r="T206" s="61">
        <v>180</v>
      </c>
      <c r="U206" s="75" t="s">
        <v>149</v>
      </c>
      <c r="V206" s="76"/>
      <c r="W206" s="77"/>
      <c r="X206" s="78" t="s">
        <v>30</v>
      </c>
      <c r="Y206" s="79">
        <f>Y203/4</f>
        <v>245.05</v>
      </c>
      <c r="AB206" s="59"/>
      <c r="AC206" s="60">
        <v>420</v>
      </c>
      <c r="AD206" s="61">
        <v>60</v>
      </c>
      <c r="AE206" s="62"/>
      <c r="AF206" s="61"/>
      <c r="AG206" s="61"/>
      <c r="AH206" s="75"/>
      <c r="AI206" s="76"/>
      <c r="AJ206" s="92" t="s">
        <v>47</v>
      </c>
      <c r="AK206" s="93" t="s">
        <v>48</v>
      </c>
      <c r="AL206" s="93" t="s">
        <v>65</v>
      </c>
      <c r="AO206" s="59"/>
      <c r="AP206" s="60"/>
      <c r="AQ206" s="61"/>
      <c r="AR206" s="62"/>
      <c r="AS206" s="61"/>
      <c r="AT206" s="61"/>
      <c r="AU206" s="75"/>
      <c r="AV206" s="84"/>
      <c r="AW206" s="58"/>
      <c r="AX206" s="58"/>
      <c r="AY206" s="58"/>
      <c r="BB206" s="59"/>
      <c r="BC206" s="60"/>
      <c r="BD206" s="61"/>
      <c r="BE206" s="62"/>
      <c r="BF206" s="61"/>
      <c r="BG206" s="61"/>
      <c r="BH206" s="75"/>
      <c r="BI206" s="76"/>
    </row>
    <row r="207" spans="2:64">
      <c r="B207" s="69"/>
      <c r="C207" s="70"/>
      <c r="D207" s="71"/>
      <c r="E207" s="70">
        <v>235</v>
      </c>
      <c r="F207" s="70">
        <v>35.25</v>
      </c>
      <c r="G207" s="70"/>
      <c r="H207" s="72"/>
      <c r="I207" s="73"/>
      <c r="J207" s="94" t="s">
        <v>52</v>
      </c>
      <c r="K207" s="95" t="s">
        <v>150</v>
      </c>
      <c r="L207" s="95" t="s">
        <v>151</v>
      </c>
      <c r="O207" s="69"/>
      <c r="P207" s="70">
        <v>404</v>
      </c>
      <c r="Q207" s="71">
        <v>46</v>
      </c>
      <c r="R207" s="70"/>
      <c r="S207" s="70"/>
      <c r="T207" s="70">
        <v>255</v>
      </c>
      <c r="U207" s="72" t="s">
        <v>39</v>
      </c>
      <c r="V207" s="73"/>
      <c r="W207" s="77"/>
      <c r="X207" s="80" t="s">
        <v>34</v>
      </c>
      <c r="Y207" s="81">
        <f>Y203/6</f>
        <v>163.366666666667</v>
      </c>
      <c r="AB207" s="69"/>
      <c r="AC207" s="70">
        <v>157</v>
      </c>
      <c r="AD207" s="71">
        <v>12</v>
      </c>
      <c r="AE207" s="70"/>
      <c r="AF207" s="70"/>
      <c r="AG207" s="70"/>
      <c r="AH207" s="72"/>
      <c r="AI207" s="73"/>
      <c r="AJ207" s="94" t="s">
        <v>52</v>
      </c>
      <c r="AK207" s="95" t="s">
        <v>27</v>
      </c>
      <c r="AL207" s="95" t="s">
        <v>43</v>
      </c>
      <c r="AO207" s="69"/>
      <c r="AP207" s="70"/>
      <c r="AQ207" s="85"/>
      <c r="AR207" s="70"/>
      <c r="AS207" s="70"/>
      <c r="AT207" s="70"/>
      <c r="AU207" s="72"/>
      <c r="AV207" s="73"/>
      <c r="AW207" s="58"/>
      <c r="AX207" s="58"/>
      <c r="AY207" s="58"/>
      <c r="BB207" s="96"/>
      <c r="BC207" s="97"/>
      <c r="BD207" s="98"/>
      <c r="BE207" s="99"/>
      <c r="BF207" s="98"/>
      <c r="BG207" s="98"/>
      <c r="BH207" s="72"/>
      <c r="BI207" s="73"/>
    </row>
    <row r="208" spans="2:64">
      <c r="B208" s="59"/>
      <c r="C208" s="60"/>
      <c r="D208" s="61"/>
      <c r="E208" s="62">
        <v>274</v>
      </c>
      <c r="F208" s="61">
        <v>27.4</v>
      </c>
      <c r="G208" s="61"/>
      <c r="H208" s="75"/>
      <c r="I208" s="76"/>
      <c r="J208" s="77"/>
      <c r="K208" s="77"/>
      <c r="L208" s="87"/>
      <c r="O208" s="59"/>
      <c r="P208" s="60"/>
      <c r="Q208" s="61"/>
      <c r="R208" s="62">
        <v>285</v>
      </c>
      <c r="S208" s="61">
        <v>42.75</v>
      </c>
      <c r="T208" s="61">
        <v>250</v>
      </c>
      <c r="U208" s="75" t="s">
        <v>152</v>
      </c>
      <c r="V208" s="76"/>
      <c r="W208" s="77"/>
      <c r="X208" s="82" t="s">
        <v>37</v>
      </c>
      <c r="Y208" s="83">
        <f>Y203/8</f>
        <v>122.525</v>
      </c>
      <c r="AB208" s="59"/>
      <c r="AC208" s="60"/>
      <c r="AD208" s="61"/>
      <c r="AE208" s="62">
        <v>422</v>
      </c>
      <c r="AF208" s="61">
        <v>42.2</v>
      </c>
      <c r="AG208" s="61"/>
      <c r="AH208" s="75"/>
      <c r="AI208" s="76"/>
      <c r="AJ208" s="77"/>
      <c r="AK208" s="77"/>
      <c r="AL208" s="87"/>
      <c r="AO208" s="59"/>
      <c r="AP208" s="60"/>
      <c r="AQ208" s="61"/>
      <c r="AR208" s="62"/>
      <c r="AS208" s="61"/>
      <c r="AT208" s="61"/>
      <c r="AU208" s="75"/>
      <c r="AV208" s="76"/>
      <c r="BB208" s="59"/>
      <c r="BC208" s="60"/>
      <c r="BD208" s="61"/>
      <c r="BE208" s="62"/>
      <c r="BF208" s="61"/>
      <c r="BG208" s="61"/>
      <c r="BH208" s="75"/>
      <c r="BI208" s="76"/>
    </row>
    <row r="209" ht="15.75" spans="2:64">
      <c r="B209" s="69"/>
      <c r="C209" s="70"/>
      <c r="D209" s="71"/>
      <c r="E209" s="70">
        <v>632</v>
      </c>
      <c r="F209" s="70">
        <v>126.4</v>
      </c>
      <c r="G209" s="70"/>
      <c r="H209" s="72"/>
      <c r="I209" s="73"/>
      <c r="J209" s="58"/>
      <c r="K209" s="58"/>
      <c r="L209" s="58"/>
      <c r="O209" s="69"/>
      <c r="P209" s="70">
        <v>185</v>
      </c>
      <c r="Q209" s="85">
        <v>26</v>
      </c>
      <c r="R209" s="70"/>
      <c r="S209" s="70"/>
      <c r="T209" s="70">
        <v>30</v>
      </c>
      <c r="U209" s="72" t="s">
        <v>29</v>
      </c>
      <c r="V209" s="73"/>
      <c r="W209" s="86"/>
      <c r="X209" s="77"/>
      <c r="Y209" s="87"/>
      <c r="AB209" s="69"/>
      <c r="AC209" s="70">
        <v>330</v>
      </c>
      <c r="AD209" s="71"/>
      <c r="AE209" s="70"/>
      <c r="AF209" s="70"/>
      <c r="AG209" s="70"/>
      <c r="AH209" s="72"/>
      <c r="AI209" s="73"/>
      <c r="AJ209" s="58"/>
      <c r="AK209" s="58"/>
      <c r="AL209" s="58"/>
      <c r="AO209" s="96"/>
      <c r="AP209" s="97"/>
      <c r="AQ209" s="98"/>
      <c r="AR209" s="99"/>
      <c r="AS209" s="98"/>
      <c r="AT209" s="98"/>
      <c r="AU209" s="72"/>
      <c r="AV209" s="73"/>
      <c r="BB209" s="96"/>
      <c r="BC209" s="97"/>
      <c r="BD209" s="98"/>
      <c r="BE209" s="99"/>
      <c r="BF209" s="98"/>
      <c r="BG209" s="98"/>
      <c r="BH209" s="72"/>
      <c r="BI209" s="73"/>
    </row>
    <row r="210" ht="15.75" spans="2:64">
      <c r="B210" s="59"/>
      <c r="C210" s="60"/>
      <c r="D210" s="61">
        <v>45</v>
      </c>
      <c r="E210" s="62">
        <v>376</v>
      </c>
      <c r="F210" s="61"/>
      <c r="G210" s="61"/>
      <c r="H210" s="75"/>
      <c r="I210" s="76"/>
      <c r="J210" s="58"/>
      <c r="K210" s="58"/>
      <c r="L210" s="58"/>
      <c r="O210" s="59"/>
      <c r="P210" s="60">
        <v>524</v>
      </c>
      <c r="Q210" s="61"/>
      <c r="R210" s="62"/>
      <c r="S210" s="61"/>
      <c r="T210" s="61"/>
      <c r="U210" s="75"/>
      <c r="V210" s="76"/>
      <c r="W210" s="77"/>
      <c r="X210" s="58"/>
      <c r="Y210" s="58"/>
      <c r="AB210" s="59"/>
      <c r="AC210" s="60">
        <v>8</v>
      </c>
      <c r="AD210" s="61"/>
      <c r="AE210" s="62"/>
      <c r="AF210" s="61"/>
      <c r="AG210" s="61"/>
      <c r="AH210" s="75"/>
      <c r="AI210" s="76"/>
      <c r="AJ210" s="58"/>
      <c r="AK210" s="58"/>
      <c r="AL210" s="58"/>
      <c r="AO210" s="59"/>
      <c r="AP210" s="60"/>
      <c r="AQ210" s="61"/>
      <c r="AR210" s="62"/>
      <c r="AS210" s="61"/>
      <c r="AT210" s="61"/>
      <c r="AU210" s="75"/>
      <c r="AV210" s="76"/>
      <c r="BB210" s="102">
        <f t="shared" ref="BB210:BG210" si="38">SUM(BB190:BB209)</f>
        <v>1205</v>
      </c>
      <c r="BC210" s="103">
        <f t="shared" si="38"/>
        <v>822</v>
      </c>
      <c r="BD210" s="104">
        <f t="shared" si="38"/>
        <v>132</v>
      </c>
      <c r="BE210" s="105">
        <f t="shared" si="38"/>
        <v>1220</v>
      </c>
      <c r="BF210" s="106">
        <f t="shared" si="38"/>
        <v>72.8</v>
      </c>
      <c r="BG210" s="107">
        <f t="shared" si="38"/>
        <v>1178.7</v>
      </c>
      <c r="BH210" s="108" t="s">
        <v>54</v>
      </c>
      <c r="BI210" s="109"/>
    </row>
    <row r="211" spans="2:64">
      <c r="B211" s="69"/>
      <c r="C211" s="71">
        <v>218</v>
      </c>
      <c r="D211" s="71"/>
      <c r="E211" s="70"/>
      <c r="F211" s="70"/>
      <c r="G211" s="70"/>
      <c r="H211" s="72"/>
      <c r="I211" s="73"/>
      <c r="J211" s="58"/>
      <c r="K211" s="58"/>
      <c r="L211" s="58"/>
      <c r="O211" s="69"/>
      <c r="P211" s="70">
        <v>1084</v>
      </c>
      <c r="Q211" s="71">
        <v>116</v>
      </c>
      <c r="R211" s="70"/>
      <c r="S211" s="70"/>
      <c r="T211" s="70"/>
      <c r="U211" s="72"/>
      <c r="V211" s="73"/>
      <c r="W211" s="77"/>
      <c r="X211" s="58"/>
      <c r="Y211" s="58"/>
      <c r="AB211" s="69"/>
      <c r="AC211" s="71">
        <v>256</v>
      </c>
      <c r="AD211" s="71">
        <v>24</v>
      </c>
      <c r="AE211" s="70"/>
      <c r="AF211" s="70"/>
      <c r="AG211" s="70"/>
      <c r="AH211" s="72"/>
      <c r="AI211" s="73"/>
      <c r="AJ211" s="58"/>
      <c r="AK211" s="58"/>
      <c r="AL211" s="58"/>
      <c r="AO211" s="96"/>
      <c r="AP211" s="97"/>
      <c r="AQ211" s="98"/>
      <c r="AR211" s="99"/>
      <c r="AS211" s="98"/>
      <c r="AT211" s="98"/>
      <c r="AU211" s="72"/>
      <c r="AV211" s="73"/>
    </row>
    <row r="212" ht="15.75" spans="2:64">
      <c r="B212" s="59"/>
      <c r="C212" s="61"/>
      <c r="D212" s="61"/>
      <c r="E212" s="62">
        <v>268</v>
      </c>
      <c r="F212" s="61">
        <v>26.8</v>
      </c>
      <c r="G212" s="61"/>
      <c r="H212" s="75"/>
      <c r="I212" s="76"/>
      <c r="J212" s="58"/>
      <c r="K212" s="58"/>
      <c r="L212" s="58"/>
      <c r="O212" s="59"/>
      <c r="P212" s="60"/>
      <c r="Q212" s="88"/>
      <c r="R212" s="62">
        <v>170</v>
      </c>
      <c r="S212" s="61"/>
      <c r="T212" s="61"/>
      <c r="U212" s="75"/>
      <c r="V212" s="76"/>
      <c r="W212" s="77"/>
      <c r="X212" s="58"/>
      <c r="Y212" s="58"/>
      <c r="AB212" s="59"/>
      <c r="AC212" s="61"/>
      <c r="AD212" s="61"/>
      <c r="AE212" s="62"/>
      <c r="AF212" s="61"/>
      <c r="AG212" s="61"/>
      <c r="AH212" s="75"/>
      <c r="AI212" s="76"/>
      <c r="AJ212" s="58"/>
      <c r="AK212" s="58"/>
      <c r="AL212" s="58"/>
      <c r="AO212" s="59"/>
      <c r="AP212" s="60"/>
      <c r="AQ212" s="61"/>
      <c r="AR212" s="62"/>
      <c r="AS212" s="61"/>
      <c r="AT212" s="61"/>
      <c r="AU212" s="75"/>
      <c r="AV212" s="76"/>
    </row>
    <row r="213" ht="15.75" spans="2:64">
      <c r="B213" s="69"/>
      <c r="C213" s="70"/>
      <c r="D213" s="71"/>
      <c r="E213" s="70">
        <v>240</v>
      </c>
      <c r="F213" s="70">
        <v>30</v>
      </c>
      <c r="G213" s="70"/>
      <c r="H213" s="72"/>
      <c r="I213" s="73"/>
      <c r="J213" s="58"/>
      <c r="K213" s="58"/>
      <c r="L213" s="58"/>
      <c r="O213" s="69"/>
      <c r="P213" s="70"/>
      <c r="Q213" s="71">
        <v>60</v>
      </c>
      <c r="R213" s="70">
        <v>673</v>
      </c>
      <c r="S213" s="70"/>
      <c r="T213" s="70"/>
      <c r="U213" s="72"/>
      <c r="V213" s="73"/>
      <c r="W213" s="89" t="s">
        <v>44</v>
      </c>
      <c r="X213" s="90" t="s">
        <v>45</v>
      </c>
      <c r="Y213" s="90" t="s">
        <v>46</v>
      </c>
      <c r="AB213" s="69"/>
      <c r="AC213" s="70"/>
      <c r="AD213" s="71"/>
      <c r="AE213" s="70"/>
      <c r="AF213" s="70"/>
      <c r="AG213" s="70"/>
      <c r="AH213" s="72"/>
      <c r="AI213" s="73"/>
      <c r="AJ213" s="58"/>
      <c r="AK213" s="58"/>
      <c r="AL213" s="58"/>
      <c r="AO213" s="96"/>
      <c r="AP213" s="97"/>
      <c r="AQ213" s="98"/>
      <c r="AR213" s="99"/>
      <c r="AS213" s="98"/>
      <c r="AT213" s="98"/>
      <c r="AU213" s="72"/>
      <c r="AV213" s="73"/>
      <c r="BB213" s="33" t="s">
        <v>153</v>
      </c>
      <c r="BC213" s="34"/>
      <c r="BD213" s="34"/>
      <c r="BE213" s="34"/>
      <c r="BF213" s="34"/>
      <c r="BG213" s="34"/>
      <c r="BH213" s="34"/>
      <c r="BI213" s="34"/>
      <c r="BJ213" s="34"/>
      <c r="BK213" s="34"/>
      <c r="BL213" s="35"/>
    </row>
    <row r="214" ht="15.75" spans="2:64">
      <c r="B214" s="59"/>
      <c r="C214" s="60">
        <v>473</v>
      </c>
      <c r="D214" s="61">
        <v>77</v>
      </c>
      <c r="E214" s="62"/>
      <c r="F214" s="61"/>
      <c r="G214" s="61"/>
      <c r="H214" s="75"/>
      <c r="I214" s="76"/>
      <c r="O214" s="59"/>
      <c r="P214" s="60">
        <v>360</v>
      </c>
      <c r="Q214" s="61">
        <v>40</v>
      </c>
      <c r="R214" s="62"/>
      <c r="S214" s="61"/>
      <c r="T214" s="61"/>
      <c r="U214" s="75"/>
      <c r="V214" s="76"/>
      <c r="W214" s="92" t="s">
        <v>47</v>
      </c>
      <c r="X214" s="93" t="s">
        <v>48</v>
      </c>
      <c r="Y214" s="93" t="s">
        <v>154</v>
      </c>
      <c r="AB214" s="59"/>
      <c r="AC214" s="60"/>
      <c r="AD214" s="61"/>
      <c r="AE214" s="62"/>
      <c r="AF214" s="61"/>
      <c r="AG214" s="61"/>
      <c r="AH214" s="75"/>
      <c r="AI214" s="76"/>
      <c r="AO214" s="102">
        <f t="shared" ref="AO214:AT214" si="39">SUM(AO190:AO213)</f>
        <v>2106</v>
      </c>
      <c r="AP214" s="103">
        <f t="shared" si="39"/>
        <v>3086</v>
      </c>
      <c r="AQ214" s="104">
        <f t="shared" si="39"/>
        <v>341</v>
      </c>
      <c r="AR214" s="105">
        <f t="shared" si="39"/>
        <v>1808</v>
      </c>
      <c r="AS214" s="106">
        <f t="shared" si="39"/>
        <v>59.7</v>
      </c>
      <c r="AT214" s="107">
        <f t="shared" si="39"/>
        <v>30</v>
      </c>
      <c r="AU214" s="108" t="s">
        <v>54</v>
      </c>
      <c r="AV214" s="109"/>
      <c r="BB214" s="36"/>
      <c r="BC214" s="37"/>
      <c r="BD214" s="37"/>
      <c r="BE214" s="37"/>
      <c r="BF214" s="37"/>
      <c r="BG214" s="37"/>
      <c r="BH214" s="37"/>
      <c r="BI214" s="37"/>
      <c r="BJ214" s="37"/>
      <c r="BK214" s="37"/>
      <c r="BL214" s="38"/>
    </row>
    <row r="215" ht="15.75" spans="2:64">
      <c r="B215" s="69"/>
      <c r="C215" s="112"/>
      <c r="D215" s="71"/>
      <c r="E215" s="58"/>
      <c r="F215" s="70"/>
      <c r="G215" s="70"/>
      <c r="H215" s="72"/>
      <c r="I215" s="73"/>
      <c r="O215" s="69"/>
      <c r="P215" s="70"/>
      <c r="Q215" s="71"/>
      <c r="R215" s="70">
        <v>395</v>
      </c>
      <c r="S215" s="70">
        <v>59.25</v>
      </c>
      <c r="T215" s="70"/>
      <c r="U215" s="72"/>
      <c r="V215" s="73"/>
      <c r="W215" s="94" t="s">
        <v>52</v>
      </c>
      <c r="X215" s="95" t="s">
        <v>27</v>
      </c>
      <c r="Y215" s="95" t="s">
        <v>43</v>
      </c>
      <c r="AB215" s="69"/>
      <c r="AC215" s="70"/>
      <c r="AD215" s="71"/>
      <c r="AE215" s="70"/>
      <c r="AF215" s="70"/>
      <c r="AG215" s="70"/>
      <c r="AH215" s="72"/>
      <c r="AI215" s="73"/>
      <c r="BB215" s="39" t="s">
        <v>12</v>
      </c>
      <c r="BC215" s="40" t="s">
        <v>13</v>
      </c>
      <c r="BD215" s="41"/>
      <c r="BE215" s="42" t="s">
        <v>14</v>
      </c>
      <c r="BF215" s="43"/>
      <c r="BG215" s="44" t="s">
        <v>15</v>
      </c>
      <c r="BH215" s="45"/>
      <c r="BI215" s="46"/>
      <c r="BJ215" s="47" t="s">
        <v>16</v>
      </c>
      <c r="BK215" s="48"/>
      <c r="BL215" s="49">
        <f>BC237+BE237</f>
        <v>3720</v>
      </c>
    </row>
    <row r="216" ht="15.75" spans="2:64">
      <c r="B216" s="59"/>
      <c r="C216" s="60"/>
      <c r="D216" s="61"/>
      <c r="E216" s="62"/>
      <c r="F216" s="61"/>
      <c r="G216" s="61"/>
      <c r="H216" s="75"/>
      <c r="I216" s="76"/>
      <c r="O216" s="59"/>
      <c r="P216" s="60">
        <v>195</v>
      </c>
      <c r="Q216" s="61">
        <v>20</v>
      </c>
      <c r="R216" s="62"/>
      <c r="S216" s="61"/>
      <c r="T216" s="61"/>
      <c r="U216" s="75"/>
      <c r="V216" s="76"/>
      <c r="W216" s="77"/>
      <c r="X216" s="77"/>
      <c r="Y216" s="87"/>
      <c r="AB216" s="59"/>
      <c r="AC216" s="60"/>
      <c r="AD216" s="61"/>
      <c r="AE216" s="62"/>
      <c r="AF216" s="61"/>
      <c r="AG216" s="61"/>
      <c r="AH216" s="75"/>
      <c r="AI216" s="76"/>
      <c r="BB216" s="50"/>
      <c r="BC216" s="51" t="s">
        <v>17</v>
      </c>
      <c r="BD216" s="51" t="s">
        <v>18</v>
      </c>
      <c r="BE216" s="52" t="s">
        <v>17</v>
      </c>
      <c r="BF216" s="52" t="s">
        <v>18</v>
      </c>
      <c r="BG216" s="53"/>
      <c r="BH216" s="54"/>
      <c r="BI216" s="55"/>
      <c r="BJ216" s="56" t="s">
        <v>19</v>
      </c>
      <c r="BK216" s="57"/>
      <c r="BL216" s="49">
        <f>BD237+BF237</f>
        <v>337.7</v>
      </c>
    </row>
    <row r="217" ht="15.75" spans="2:64">
      <c r="B217" s="96"/>
      <c r="C217" s="97"/>
      <c r="D217" s="98"/>
      <c r="E217" s="99"/>
      <c r="F217" s="98"/>
      <c r="G217" s="98"/>
      <c r="H217" s="72"/>
      <c r="I217" s="73"/>
      <c r="O217" s="69"/>
      <c r="P217" s="70"/>
      <c r="Q217" s="71"/>
      <c r="R217" s="70">
        <v>536</v>
      </c>
      <c r="S217" s="70">
        <v>80.4</v>
      </c>
      <c r="T217" s="70"/>
      <c r="U217" s="72"/>
      <c r="V217" s="73"/>
      <c r="W217" s="58"/>
      <c r="X217" s="58"/>
      <c r="Y217" s="58"/>
      <c r="AB217" s="102">
        <f t="shared" ref="AB217:AG217" si="40">SUM(AB196:AB216)</f>
        <v>3108</v>
      </c>
      <c r="AC217" s="103">
        <f t="shared" si="40"/>
        <v>3516</v>
      </c>
      <c r="AD217" s="104">
        <f t="shared" si="40"/>
        <v>202</v>
      </c>
      <c r="AE217" s="105">
        <f t="shared" si="40"/>
        <v>1430</v>
      </c>
      <c r="AF217" s="106">
        <f t="shared" si="40"/>
        <v>95.75</v>
      </c>
      <c r="AG217" s="107">
        <f t="shared" si="40"/>
        <v>4896</v>
      </c>
      <c r="AH217" s="108" t="s">
        <v>54</v>
      </c>
      <c r="AI217" s="109"/>
      <c r="AO217" s="33" t="s">
        <v>155</v>
      </c>
      <c r="AP217" s="34"/>
      <c r="AQ217" s="34"/>
      <c r="AR217" s="34"/>
      <c r="AS217" s="34"/>
      <c r="AT217" s="34"/>
      <c r="AU217" s="34"/>
      <c r="AV217" s="34"/>
      <c r="AW217" s="34"/>
      <c r="AX217" s="34"/>
      <c r="AY217" s="35"/>
      <c r="BB217" s="59">
        <v>980</v>
      </c>
      <c r="BC217" s="68">
        <v>328</v>
      </c>
      <c r="BD217" s="61">
        <v>40</v>
      </c>
      <c r="BE217" s="62"/>
      <c r="BF217" s="61"/>
      <c r="BG217" s="61">
        <v>385</v>
      </c>
      <c r="BH217" s="63" t="s">
        <v>24</v>
      </c>
      <c r="BI217" s="64"/>
      <c r="BJ217" s="65" t="s">
        <v>21</v>
      </c>
      <c r="BK217" s="66"/>
      <c r="BL217" s="67">
        <f>BG237</f>
        <v>655</v>
      </c>
    </row>
    <row r="218" ht="15.75" spans="2:64">
      <c r="B218" s="59"/>
      <c r="C218" s="60"/>
      <c r="D218" s="61"/>
      <c r="E218" s="62"/>
      <c r="F218" s="61"/>
      <c r="G218" s="61"/>
      <c r="H218" s="75"/>
      <c r="I218" s="76"/>
      <c r="O218" s="59"/>
      <c r="P218" s="60"/>
      <c r="Q218" s="61"/>
      <c r="R218" s="62">
        <v>434</v>
      </c>
      <c r="S218" s="61">
        <v>21.7</v>
      </c>
      <c r="T218" s="61"/>
      <c r="U218" s="75"/>
      <c r="V218" s="76"/>
      <c r="W218" s="58"/>
      <c r="X218" s="58"/>
      <c r="Y218" s="58"/>
      <c r="AO218" s="36"/>
      <c r="AP218" s="37"/>
      <c r="AQ218" s="37"/>
      <c r="AR218" s="37"/>
      <c r="AS218" s="37"/>
      <c r="AT218" s="37"/>
      <c r="AU218" s="37"/>
      <c r="AV218" s="37"/>
      <c r="AW218" s="37"/>
      <c r="AX218" s="37"/>
      <c r="AY218" s="38"/>
      <c r="BB218" s="69"/>
      <c r="BC218" s="70"/>
      <c r="BD218" s="71"/>
      <c r="BE218" s="70">
        <v>152</v>
      </c>
      <c r="BF218" s="70"/>
      <c r="BG218" s="70">
        <v>30</v>
      </c>
      <c r="BH218" s="72" t="s">
        <v>29</v>
      </c>
      <c r="BI218" s="73"/>
      <c r="BJ218" s="74" t="s">
        <v>26</v>
      </c>
      <c r="BK218" s="57"/>
      <c r="BL218" s="49">
        <f>BB237+BL215+BL216-BL217-BE237-BF237</f>
        <v>791</v>
      </c>
    </row>
    <row r="219" ht="15.75" spans="2:64">
      <c r="B219" s="69"/>
      <c r="C219" s="112"/>
      <c r="D219" s="71"/>
      <c r="E219" s="58"/>
      <c r="F219" s="70"/>
      <c r="G219" s="70"/>
      <c r="H219" s="72"/>
      <c r="I219" s="73"/>
      <c r="O219" s="69"/>
      <c r="P219" s="71">
        <v>495</v>
      </c>
      <c r="Q219" s="71">
        <v>55</v>
      </c>
      <c r="R219" s="70"/>
      <c r="S219" s="70"/>
      <c r="T219" s="70"/>
      <c r="U219" s="72"/>
      <c r="V219" s="73"/>
      <c r="W219" s="58"/>
      <c r="X219" s="58"/>
      <c r="Y219" s="58"/>
      <c r="AO219" s="39" t="s">
        <v>12</v>
      </c>
      <c r="AP219" s="40" t="s">
        <v>13</v>
      </c>
      <c r="AQ219" s="41"/>
      <c r="AR219" s="42" t="s">
        <v>14</v>
      </c>
      <c r="AS219" s="43"/>
      <c r="AT219" s="44" t="s">
        <v>15</v>
      </c>
      <c r="AU219" s="45"/>
      <c r="AV219" s="46"/>
      <c r="AW219" s="47" t="s">
        <v>16</v>
      </c>
      <c r="AX219" s="48"/>
      <c r="AY219" s="49">
        <f>AP241+AR241</f>
        <v>1668</v>
      </c>
      <c r="BB219" s="59"/>
      <c r="BC219" s="60"/>
      <c r="BD219" s="61"/>
      <c r="BE219" s="62">
        <v>525</v>
      </c>
      <c r="BF219" s="61">
        <v>52.5</v>
      </c>
      <c r="BG219" s="61">
        <v>240</v>
      </c>
      <c r="BH219" s="75" t="s">
        <v>39</v>
      </c>
      <c r="BI219" s="76"/>
      <c r="BJ219" s="77"/>
      <c r="BK219" s="78" t="s">
        <v>30</v>
      </c>
      <c r="BL219" s="79">
        <f>BL216/4</f>
        <v>84.425</v>
      </c>
    </row>
    <row r="220" ht="15.75" spans="2:64">
      <c r="B220" s="102">
        <f t="shared" ref="B220:G220" si="41">SUM(B196:B219)</f>
        <v>831.5</v>
      </c>
      <c r="C220" s="103">
        <f t="shared" si="41"/>
        <v>2951</v>
      </c>
      <c r="D220" s="104">
        <f t="shared" si="41"/>
        <v>335</v>
      </c>
      <c r="E220" s="105">
        <f t="shared" si="41"/>
        <v>3343</v>
      </c>
      <c r="F220" s="106">
        <f t="shared" si="41"/>
        <v>407.4</v>
      </c>
      <c r="G220" s="107">
        <f t="shared" si="41"/>
        <v>438.1</v>
      </c>
      <c r="H220" s="108" t="s">
        <v>54</v>
      </c>
      <c r="I220" s="109"/>
      <c r="O220" s="59"/>
      <c r="P220" s="61"/>
      <c r="Q220" s="61"/>
      <c r="R220" s="62">
        <v>235</v>
      </c>
      <c r="S220" s="61">
        <v>35.25</v>
      </c>
      <c r="T220" s="61"/>
      <c r="U220" s="75"/>
      <c r="V220" s="76"/>
      <c r="W220" s="58"/>
      <c r="X220" s="58"/>
      <c r="Y220" s="58"/>
      <c r="AB220" s="33" t="s">
        <v>156</v>
      </c>
      <c r="AC220" s="34"/>
      <c r="AD220" s="34"/>
      <c r="AE220" s="34"/>
      <c r="AF220" s="34"/>
      <c r="AG220" s="34"/>
      <c r="AH220" s="34"/>
      <c r="AI220" s="34"/>
      <c r="AJ220" s="34"/>
      <c r="AK220" s="34"/>
      <c r="AL220" s="35"/>
      <c r="AO220" s="50"/>
      <c r="AP220" s="51" t="s">
        <v>17</v>
      </c>
      <c r="AQ220" s="51" t="s">
        <v>18</v>
      </c>
      <c r="AR220" s="52" t="s">
        <v>17</v>
      </c>
      <c r="AS220" s="52" t="s">
        <v>18</v>
      </c>
      <c r="AT220" s="53"/>
      <c r="AU220" s="54"/>
      <c r="AV220" s="55"/>
      <c r="AW220" s="56" t="s">
        <v>19</v>
      </c>
      <c r="AX220" s="57"/>
      <c r="AY220" s="49">
        <f>AQ241+AS241</f>
        <v>147.5</v>
      </c>
      <c r="BB220" s="69"/>
      <c r="BC220" s="70"/>
      <c r="BD220" s="71"/>
      <c r="BE220" s="70">
        <v>165</v>
      </c>
      <c r="BF220" s="70"/>
      <c r="BG220" s="70"/>
      <c r="BH220" s="72"/>
      <c r="BI220" s="73"/>
      <c r="BJ220" s="77"/>
      <c r="BK220" s="80" t="s">
        <v>34</v>
      </c>
      <c r="BL220" s="81">
        <f>BL216/6</f>
        <v>56.2833333333333</v>
      </c>
    </row>
    <row r="221" ht="15.75" customHeight="1" spans="2:64">
      <c r="O221" s="69"/>
      <c r="P221" s="71"/>
      <c r="Q221" s="71"/>
      <c r="R221" s="70">
        <v>587</v>
      </c>
      <c r="S221" s="70">
        <v>58.7</v>
      </c>
      <c r="T221" s="70"/>
      <c r="U221" s="72"/>
      <c r="V221" s="73"/>
      <c r="W221" s="58"/>
      <c r="X221" s="58"/>
      <c r="Y221" s="58"/>
      <c r="AB221" s="36"/>
      <c r="AC221" s="37"/>
      <c r="AD221" s="37"/>
      <c r="AE221" s="37"/>
      <c r="AF221" s="37"/>
      <c r="AG221" s="37"/>
      <c r="AH221" s="37"/>
      <c r="AI221" s="37"/>
      <c r="AJ221" s="37"/>
      <c r="AK221" s="37"/>
      <c r="AL221" s="38"/>
      <c r="AO221" s="59">
        <v>9503</v>
      </c>
      <c r="AP221" s="68">
        <v>23</v>
      </c>
      <c r="AQ221" s="61"/>
      <c r="AR221" s="62"/>
      <c r="AS221" s="61"/>
      <c r="AT221" s="61">
        <v>5210</v>
      </c>
      <c r="AU221" s="63" t="s">
        <v>67</v>
      </c>
      <c r="AV221" s="64"/>
      <c r="AW221" s="65" t="s">
        <v>21</v>
      </c>
      <c r="AX221" s="66"/>
      <c r="AY221" s="67">
        <f>AT241</f>
        <v>5630</v>
      </c>
      <c r="BB221" s="59"/>
      <c r="BC221" s="60">
        <v>98</v>
      </c>
      <c r="BD221" s="61"/>
      <c r="BE221" s="62"/>
      <c r="BF221" s="61"/>
      <c r="BG221" s="61"/>
      <c r="BH221" s="75"/>
      <c r="BI221" s="84"/>
      <c r="BJ221" s="77"/>
      <c r="BK221" s="82" t="s">
        <v>37</v>
      </c>
      <c r="BL221" s="83">
        <f>BL216/8</f>
        <v>42.2125</v>
      </c>
    </row>
    <row r="222" ht="15.75" customHeight="1" spans="2:64">
      <c r="O222" s="59"/>
      <c r="P222" s="61">
        <v>328</v>
      </c>
      <c r="Q222" s="61"/>
      <c r="R222" s="62"/>
      <c r="S222" s="61"/>
      <c r="T222" s="61"/>
      <c r="U222" s="75"/>
      <c r="V222" s="76"/>
      <c r="W222" s="58"/>
      <c r="X222" s="58"/>
      <c r="Y222" s="58"/>
      <c r="AB222" s="39" t="s">
        <v>12</v>
      </c>
      <c r="AC222" s="40" t="s">
        <v>13</v>
      </c>
      <c r="AD222" s="41"/>
      <c r="AE222" s="42" t="s">
        <v>14</v>
      </c>
      <c r="AF222" s="43"/>
      <c r="AG222" s="44" t="s">
        <v>15</v>
      </c>
      <c r="AH222" s="45"/>
      <c r="AI222" s="46"/>
      <c r="AJ222" s="47" t="s">
        <v>16</v>
      </c>
      <c r="AK222" s="48"/>
      <c r="AL222" s="49">
        <f>AC244+AE244</f>
        <v>3554</v>
      </c>
      <c r="AO222" s="69" t="s">
        <v>125</v>
      </c>
      <c r="AP222" s="70">
        <v>427</v>
      </c>
      <c r="AQ222" s="71">
        <v>23</v>
      </c>
      <c r="AR222" s="70"/>
      <c r="AS222" s="70"/>
      <c r="AT222" s="70">
        <v>30</v>
      </c>
      <c r="AU222" s="72" t="s">
        <v>29</v>
      </c>
      <c r="AV222" s="73"/>
      <c r="AW222" s="74" t="s">
        <v>26</v>
      </c>
      <c r="AX222" s="57"/>
      <c r="AY222" s="49">
        <f>AO241+AY219+AY220-AY221-AR241-AS241</f>
        <v>4566</v>
      </c>
      <c r="BB222" s="69"/>
      <c r="BC222" s="70"/>
      <c r="BD222" s="85"/>
      <c r="BE222" s="70">
        <v>2452</v>
      </c>
      <c r="BF222" s="70">
        <v>245.2</v>
      </c>
      <c r="BG222" s="70"/>
      <c r="BH222" s="72"/>
      <c r="BI222" s="73"/>
      <c r="BJ222" s="86"/>
      <c r="BK222" s="77"/>
      <c r="BL222" s="87"/>
    </row>
    <row r="223" ht="15.75" customHeight="1" spans="2:64">
      <c r="B223" s="33" t="s">
        <v>157</v>
      </c>
      <c r="C223" s="34"/>
      <c r="D223" s="34"/>
      <c r="E223" s="34"/>
      <c r="F223" s="34"/>
      <c r="G223" s="34"/>
      <c r="H223" s="34"/>
      <c r="I223" s="34"/>
      <c r="J223" s="34"/>
      <c r="K223" s="34"/>
      <c r="L223" s="35"/>
      <c r="O223" s="69"/>
      <c r="P223" s="71">
        <v>707</v>
      </c>
      <c r="Q223" s="71">
        <v>86</v>
      </c>
      <c r="R223" s="70"/>
      <c r="S223" s="70"/>
      <c r="T223" s="70"/>
      <c r="U223" s="72"/>
      <c r="V223" s="73"/>
      <c r="W223" s="58"/>
      <c r="AB223" s="50"/>
      <c r="AC223" s="51" t="s">
        <v>17</v>
      </c>
      <c r="AD223" s="51" t="s">
        <v>18</v>
      </c>
      <c r="AE223" s="52" t="s">
        <v>17</v>
      </c>
      <c r="AF223" s="52" t="s">
        <v>18</v>
      </c>
      <c r="AG223" s="53"/>
      <c r="AH223" s="54"/>
      <c r="AI223" s="55"/>
      <c r="AJ223" s="56" t="s">
        <v>19</v>
      </c>
      <c r="AK223" s="57"/>
      <c r="AL223" s="49">
        <f>AD244+AF244</f>
        <v>383.8</v>
      </c>
      <c r="AO223" s="59"/>
      <c r="AP223" s="60"/>
      <c r="AQ223" s="61"/>
      <c r="AR223" s="62">
        <v>220</v>
      </c>
      <c r="AS223" s="61">
        <v>33</v>
      </c>
      <c r="AT223" s="61">
        <v>390</v>
      </c>
      <c r="AU223" s="75" t="s">
        <v>24</v>
      </c>
      <c r="AV223" s="76"/>
      <c r="AW223" s="77"/>
      <c r="AX223" s="78" t="s">
        <v>30</v>
      </c>
      <c r="AY223" s="79">
        <f>AY220/4</f>
        <v>36.875</v>
      </c>
      <c r="BB223" s="59"/>
      <c r="BC223" s="60"/>
      <c r="BD223" s="61"/>
      <c r="BE223" s="62"/>
      <c r="BF223" s="61"/>
      <c r="BG223" s="61"/>
      <c r="BH223" s="75"/>
      <c r="BI223" s="84"/>
      <c r="BJ223" s="77"/>
      <c r="BK223" s="58"/>
      <c r="BL223" s="58"/>
    </row>
    <row r="224" ht="15.75" customHeight="1" spans="2:64">
      <c r="B224" s="36"/>
      <c r="C224" s="37"/>
      <c r="D224" s="37"/>
      <c r="E224" s="37"/>
      <c r="F224" s="37"/>
      <c r="G224" s="37"/>
      <c r="H224" s="37"/>
      <c r="I224" s="37"/>
      <c r="J224" s="37"/>
      <c r="K224" s="37"/>
      <c r="L224" s="38"/>
      <c r="O224" s="59"/>
      <c r="P224" s="61">
        <v>493</v>
      </c>
      <c r="Q224" s="61">
        <v>7</v>
      </c>
      <c r="R224" s="62"/>
      <c r="S224" s="61"/>
      <c r="T224" s="61"/>
      <c r="U224" s="75"/>
      <c r="V224" s="76"/>
      <c r="W224" s="58"/>
      <c r="AB224" s="59">
        <v>1930</v>
      </c>
      <c r="AC224" s="60">
        <v>175</v>
      </c>
      <c r="AD224" s="61"/>
      <c r="AE224" s="62"/>
      <c r="AF224" s="61"/>
      <c r="AG224" s="61">
        <v>30</v>
      </c>
      <c r="AH224" s="63" t="s">
        <v>29</v>
      </c>
      <c r="AI224" s="64"/>
      <c r="AJ224" s="65" t="s">
        <v>21</v>
      </c>
      <c r="AK224" s="66"/>
      <c r="AL224" s="67">
        <f>AG244</f>
        <v>3589</v>
      </c>
      <c r="AO224" s="69"/>
      <c r="AP224" s="70">
        <v>202</v>
      </c>
      <c r="AQ224" s="71">
        <v>18</v>
      </c>
      <c r="AR224" s="70"/>
      <c r="AS224" s="70"/>
      <c r="AT224" s="70"/>
      <c r="AU224" s="72"/>
      <c r="AV224" s="73"/>
      <c r="AW224" s="77"/>
      <c r="AX224" s="80" t="s">
        <v>34</v>
      </c>
      <c r="AY224" s="81">
        <f>AY220/6</f>
        <v>24.5833333333333</v>
      </c>
      <c r="BB224" s="69"/>
      <c r="BC224" s="70"/>
      <c r="BD224" s="85"/>
      <c r="BE224" s="70"/>
      <c r="BF224" s="70"/>
      <c r="BG224" s="70"/>
      <c r="BH224" s="72"/>
      <c r="BI224" s="73"/>
      <c r="BJ224" s="77"/>
      <c r="BK224" s="58"/>
      <c r="BL224" s="58"/>
    </row>
    <row r="225" ht="15.75" spans="2:64">
      <c r="B225" s="39" t="s">
        <v>12</v>
      </c>
      <c r="C225" s="40" t="s">
        <v>13</v>
      </c>
      <c r="D225" s="41"/>
      <c r="E225" s="42" t="s">
        <v>14</v>
      </c>
      <c r="F225" s="43"/>
      <c r="G225" s="44" t="s">
        <v>15</v>
      </c>
      <c r="H225" s="45"/>
      <c r="I225" s="46"/>
      <c r="J225" s="47" t="s">
        <v>16</v>
      </c>
      <c r="K225" s="48"/>
      <c r="L225" s="49">
        <f>C251+E251</f>
        <v>8536</v>
      </c>
      <c r="O225" s="69"/>
      <c r="P225" s="71"/>
      <c r="Q225" s="71"/>
      <c r="R225" s="70">
        <v>265</v>
      </c>
      <c r="S225" s="70">
        <v>39.75</v>
      </c>
      <c r="T225" s="70"/>
      <c r="U225" s="72"/>
      <c r="V225" s="73"/>
      <c r="W225" s="58"/>
      <c r="AB225" s="69">
        <v>80</v>
      </c>
      <c r="AC225" s="70">
        <v>257</v>
      </c>
      <c r="AD225" s="71">
        <v>50</v>
      </c>
      <c r="AE225" s="70"/>
      <c r="AF225" s="70"/>
      <c r="AG225" s="70">
        <v>33</v>
      </c>
      <c r="AH225" s="72" t="s">
        <v>158</v>
      </c>
      <c r="AI225" s="73"/>
      <c r="AJ225" s="74" t="s">
        <v>26</v>
      </c>
      <c r="AK225" s="57"/>
      <c r="AL225" s="49">
        <f>AB244+AL222+AL223-AL224-AE244-AF244</f>
        <v>467</v>
      </c>
      <c r="AO225" s="59"/>
      <c r="AP225" s="60"/>
      <c r="AQ225" s="61"/>
      <c r="AR225" s="62">
        <v>176</v>
      </c>
      <c r="AS225" s="61"/>
      <c r="AT225" s="61"/>
      <c r="AU225" s="75"/>
      <c r="AV225" s="84"/>
      <c r="AW225" s="77"/>
      <c r="AX225" s="82" t="s">
        <v>37</v>
      </c>
      <c r="AY225" s="83">
        <f>AY220/8</f>
        <v>18.4375</v>
      </c>
      <c r="BB225" s="59"/>
      <c r="BC225" s="60"/>
      <c r="BD225" s="61"/>
      <c r="BE225" s="62"/>
      <c r="BF225" s="61"/>
      <c r="BG225" s="61"/>
      <c r="BH225" s="75"/>
      <c r="BI225" s="84"/>
      <c r="BJ225" s="77"/>
      <c r="BK225" s="58"/>
      <c r="BL225" s="58"/>
    </row>
    <row r="226" ht="15.75" spans="2:64">
      <c r="B226" s="50"/>
      <c r="C226" s="51" t="s">
        <v>17</v>
      </c>
      <c r="D226" s="51" t="s">
        <v>18</v>
      </c>
      <c r="E226" s="52" t="s">
        <v>17</v>
      </c>
      <c r="F226" s="52" t="s">
        <v>18</v>
      </c>
      <c r="G226" s="53"/>
      <c r="H226" s="54"/>
      <c r="I226" s="55"/>
      <c r="J226" s="56" t="s">
        <v>19</v>
      </c>
      <c r="K226" s="57"/>
      <c r="L226" s="49">
        <f>D251+F251</f>
        <v>732.95</v>
      </c>
      <c r="O226" s="59"/>
      <c r="P226" s="61">
        <v>35</v>
      </c>
      <c r="Q226" s="61"/>
      <c r="R226" s="62"/>
      <c r="S226" s="61"/>
      <c r="T226" s="61"/>
      <c r="U226" s="75"/>
      <c r="V226" s="76"/>
      <c r="W226" s="58"/>
      <c r="AB226" s="59"/>
      <c r="AC226" s="60">
        <v>155</v>
      </c>
      <c r="AD226" s="61"/>
      <c r="AE226" s="62"/>
      <c r="AF226" s="61"/>
      <c r="AG226" s="61">
        <v>34</v>
      </c>
      <c r="AH226" s="75" t="s">
        <v>95</v>
      </c>
      <c r="AI226" s="76"/>
      <c r="AJ226" s="77"/>
      <c r="AK226" s="78" t="s">
        <v>30</v>
      </c>
      <c r="AL226" s="79">
        <f>AL223/4</f>
        <v>95.95</v>
      </c>
      <c r="AO226" s="69"/>
      <c r="AP226" s="70"/>
      <c r="AQ226" s="85"/>
      <c r="AR226" s="70">
        <v>195</v>
      </c>
      <c r="AS226" s="70">
        <v>9.75</v>
      </c>
      <c r="AT226" s="70"/>
      <c r="AU226" s="72"/>
      <c r="AV226" s="73"/>
      <c r="AW226" s="86"/>
      <c r="AX226" s="77"/>
      <c r="AY226" s="87"/>
      <c r="BB226" s="69"/>
      <c r="BC226" s="70"/>
      <c r="BD226" s="85"/>
      <c r="BE226" s="70"/>
      <c r="BF226" s="70"/>
      <c r="BG226" s="70"/>
      <c r="BH226" s="72"/>
      <c r="BI226" s="73"/>
      <c r="BJ226" s="89" t="s">
        <v>44</v>
      </c>
      <c r="BK226" s="90" t="s">
        <v>45</v>
      </c>
      <c r="BL226" s="90" t="s">
        <v>46</v>
      </c>
    </row>
    <row r="227" ht="15.75" spans="2:64">
      <c r="B227" s="59">
        <v>508</v>
      </c>
      <c r="C227" s="60">
        <v>675</v>
      </c>
      <c r="D227" s="61">
        <v>25</v>
      </c>
      <c r="E227" s="62"/>
      <c r="F227" s="61"/>
      <c r="G227" s="61">
        <v>25</v>
      </c>
      <c r="H227" s="63" t="s">
        <v>74</v>
      </c>
      <c r="I227" s="64"/>
      <c r="J227" s="65" t="s">
        <v>21</v>
      </c>
      <c r="K227" s="66"/>
      <c r="L227" s="67">
        <f>G251</f>
        <v>449</v>
      </c>
      <c r="O227" s="69"/>
      <c r="P227" s="71"/>
      <c r="Q227" s="71">
        <v>20</v>
      </c>
      <c r="R227" s="70">
        <v>170</v>
      </c>
      <c r="S227" s="70"/>
      <c r="T227" s="70"/>
      <c r="U227" s="72"/>
      <c r="V227" s="73"/>
      <c r="W227" s="58"/>
      <c r="AB227" s="69"/>
      <c r="AC227" s="70">
        <v>220</v>
      </c>
      <c r="AD227" s="71">
        <v>22</v>
      </c>
      <c r="AE227" s="70"/>
      <c r="AF227" s="70"/>
      <c r="AG227" s="70">
        <v>2448</v>
      </c>
      <c r="AH227" s="72" t="s">
        <v>48</v>
      </c>
      <c r="AI227" s="73"/>
      <c r="AJ227" s="77"/>
      <c r="AK227" s="80" t="s">
        <v>34</v>
      </c>
      <c r="AL227" s="81">
        <f>AL223/6</f>
        <v>63.9666666666667</v>
      </c>
      <c r="AO227" s="59"/>
      <c r="AP227" s="60"/>
      <c r="AQ227" s="61"/>
      <c r="AR227" s="62">
        <v>425</v>
      </c>
      <c r="AS227" s="61">
        <v>63.75</v>
      </c>
      <c r="AT227" s="61"/>
      <c r="AU227" s="75"/>
      <c r="AV227" s="84"/>
      <c r="AW227" s="77"/>
      <c r="AX227" s="58"/>
      <c r="AY227" s="58"/>
      <c r="BB227" s="59"/>
      <c r="BC227" s="60"/>
      <c r="BD227" s="61"/>
      <c r="BE227" s="62"/>
      <c r="BF227" s="61"/>
      <c r="BG227" s="61"/>
      <c r="BH227" s="75"/>
      <c r="BI227" s="84"/>
      <c r="BJ227" s="92" t="s">
        <v>47</v>
      </c>
      <c r="BK227" s="93" t="s">
        <v>27</v>
      </c>
      <c r="BL227" s="93" t="s">
        <v>43</v>
      </c>
    </row>
    <row r="228" ht="15.75" spans="2:64">
      <c r="B228" s="69"/>
      <c r="C228" s="70">
        <v>258</v>
      </c>
      <c r="D228" s="71">
        <v>17</v>
      </c>
      <c r="E228" s="70"/>
      <c r="F228" s="70"/>
      <c r="G228" s="70">
        <v>24</v>
      </c>
      <c r="H228" s="72" t="s">
        <v>159</v>
      </c>
      <c r="I228" s="73"/>
      <c r="J228" s="74" t="s">
        <v>26</v>
      </c>
      <c r="K228" s="57"/>
      <c r="L228" s="49">
        <f>B251+L225+L226-L227-E251-F251</f>
        <v>3123</v>
      </c>
      <c r="O228" s="59"/>
      <c r="P228" s="61"/>
      <c r="Q228" s="61"/>
      <c r="R228" s="62">
        <v>494</v>
      </c>
      <c r="S228" s="61">
        <v>49.1</v>
      </c>
      <c r="T228" s="61"/>
      <c r="U228" s="75"/>
      <c r="V228" s="76"/>
      <c r="W228" s="58"/>
      <c r="AB228" s="59"/>
      <c r="AC228" s="60">
        <v>516</v>
      </c>
      <c r="AD228" s="61">
        <v>54</v>
      </c>
      <c r="AE228" s="62"/>
      <c r="AF228" s="61"/>
      <c r="AG228" s="61">
        <v>1044</v>
      </c>
      <c r="AH228" s="75" t="s">
        <v>160</v>
      </c>
      <c r="AI228" s="76"/>
      <c r="AJ228" s="77"/>
      <c r="AK228" s="82" t="s">
        <v>37</v>
      </c>
      <c r="AL228" s="83">
        <f>AL223/8</f>
        <v>47.975</v>
      </c>
      <c r="AO228" s="69"/>
      <c r="AP228" s="70"/>
      <c r="AQ228" s="85"/>
      <c r="AR228" s="70"/>
      <c r="AS228" s="70"/>
      <c r="AT228" s="70"/>
      <c r="AU228" s="72"/>
      <c r="AV228" s="73"/>
      <c r="AW228" s="77"/>
      <c r="AX228" s="58"/>
      <c r="AY228" s="58"/>
      <c r="BB228" s="69"/>
      <c r="BC228" s="70"/>
      <c r="BD228" s="85"/>
      <c r="BE228" s="70"/>
      <c r="BF228" s="70"/>
      <c r="BG228" s="70"/>
      <c r="BH228" s="72"/>
      <c r="BI228" s="73"/>
      <c r="BJ228" s="94" t="s">
        <v>52</v>
      </c>
      <c r="BK228" s="95" t="s">
        <v>48</v>
      </c>
      <c r="BL228" s="95" t="s">
        <v>65</v>
      </c>
    </row>
    <row r="229" spans="2:64">
      <c r="B229" s="59"/>
      <c r="C229" s="60">
        <v>137</v>
      </c>
      <c r="D229" s="61"/>
      <c r="E229" s="62"/>
      <c r="F229" s="61"/>
      <c r="G229" s="61">
        <v>400</v>
      </c>
      <c r="H229" s="75" t="s">
        <v>24</v>
      </c>
      <c r="I229" s="76"/>
      <c r="J229" s="77"/>
      <c r="K229" s="78" t="s">
        <v>30</v>
      </c>
      <c r="L229" s="79">
        <f>L226/4</f>
        <v>183.2375</v>
      </c>
      <c r="O229" s="69"/>
      <c r="P229" s="71"/>
      <c r="Q229" s="71"/>
      <c r="R229" s="70"/>
      <c r="S229" s="70"/>
      <c r="T229" s="70"/>
      <c r="U229" s="72"/>
      <c r="V229" s="73"/>
      <c r="W229" s="58"/>
      <c r="AB229" s="69"/>
      <c r="AC229" s="70">
        <v>170</v>
      </c>
      <c r="AD229" s="85">
        <v>20</v>
      </c>
      <c r="AE229" s="70"/>
      <c r="AF229" s="70"/>
      <c r="AG229" s="70"/>
      <c r="AH229" s="72"/>
      <c r="AI229" s="73"/>
      <c r="AJ229" s="86"/>
      <c r="AK229" s="77"/>
      <c r="AL229" s="87"/>
      <c r="AO229" s="59"/>
      <c r="AP229" s="60"/>
      <c r="AQ229" s="61"/>
      <c r="AR229" s="62"/>
      <c r="AS229" s="61"/>
      <c r="AT229" s="61"/>
      <c r="AU229" s="75"/>
      <c r="AV229" s="84"/>
      <c r="AW229" s="77"/>
      <c r="AX229" s="58"/>
      <c r="AY229" s="58"/>
      <c r="BB229" s="59"/>
      <c r="BC229" s="60"/>
      <c r="BD229" s="61"/>
      <c r="BE229" s="62"/>
      <c r="BF229" s="61"/>
      <c r="BG229" s="61"/>
      <c r="BH229" s="75"/>
      <c r="BI229" s="84"/>
      <c r="BJ229" s="77"/>
      <c r="BK229" s="77"/>
      <c r="BL229" s="87"/>
    </row>
    <row r="230" spans="2:64">
      <c r="B230" s="69"/>
      <c r="C230" s="70">
        <v>123</v>
      </c>
      <c r="D230" s="71"/>
      <c r="E230" s="70"/>
      <c r="F230" s="70"/>
      <c r="G230" s="70"/>
      <c r="H230" s="72"/>
      <c r="I230" s="73"/>
      <c r="J230" s="77"/>
      <c r="K230" s="80" t="s">
        <v>34</v>
      </c>
      <c r="L230" s="81">
        <f>L226/6</f>
        <v>122.158333333333</v>
      </c>
      <c r="O230" s="59"/>
      <c r="P230" s="61"/>
      <c r="Q230" s="61"/>
      <c r="R230" s="62"/>
      <c r="S230" s="61"/>
      <c r="T230" s="61"/>
      <c r="U230" s="75"/>
      <c r="V230" s="76"/>
      <c r="W230" s="58"/>
      <c r="AB230" s="59"/>
      <c r="AC230" s="60">
        <v>230</v>
      </c>
      <c r="AD230" s="61">
        <v>20</v>
      </c>
      <c r="AE230" s="62"/>
      <c r="AF230" s="61"/>
      <c r="AG230" s="61"/>
      <c r="AH230" s="75"/>
      <c r="AI230" s="76"/>
      <c r="AJ230" s="77"/>
      <c r="AK230" s="58"/>
      <c r="AL230" s="58"/>
      <c r="AO230" s="69"/>
      <c r="AP230" s="70"/>
      <c r="AQ230" s="85"/>
      <c r="AR230" s="70"/>
      <c r="AS230" s="70"/>
      <c r="AT230" s="70"/>
      <c r="AU230" s="72"/>
      <c r="AV230" s="73"/>
      <c r="AW230" s="89" t="s">
        <v>44</v>
      </c>
      <c r="AX230" s="90" t="s">
        <v>45</v>
      </c>
      <c r="AY230" s="90" t="s">
        <v>46</v>
      </c>
      <c r="BB230" s="96"/>
      <c r="BC230" s="97"/>
      <c r="BD230" s="98"/>
      <c r="BE230" s="99"/>
      <c r="BF230" s="98"/>
      <c r="BG230" s="98"/>
      <c r="BH230" s="72"/>
      <c r="BI230" s="73"/>
    </row>
    <row r="231" spans="2:64">
      <c r="B231" s="59"/>
      <c r="C231" s="60">
        <v>923</v>
      </c>
      <c r="D231" s="61">
        <v>64</v>
      </c>
      <c r="E231" s="62"/>
      <c r="F231" s="61"/>
      <c r="G231" s="61"/>
      <c r="H231" s="75"/>
      <c r="I231" s="76"/>
      <c r="J231" s="77"/>
      <c r="K231" s="82" t="s">
        <v>37</v>
      </c>
      <c r="L231" s="83">
        <f>L226/8</f>
        <v>91.61875</v>
      </c>
      <c r="O231" s="69"/>
      <c r="P231" s="71"/>
      <c r="Q231" s="71"/>
      <c r="R231" s="70"/>
      <c r="S231" s="70"/>
      <c r="T231" s="70"/>
      <c r="U231" s="72"/>
      <c r="V231" s="73"/>
      <c r="W231" s="58"/>
      <c r="AB231" s="69"/>
      <c r="AC231" s="70"/>
      <c r="AD231" s="71"/>
      <c r="AE231" s="70">
        <v>434</v>
      </c>
      <c r="AF231" s="70">
        <v>43.4</v>
      </c>
      <c r="AG231" s="70"/>
      <c r="AH231" s="72"/>
      <c r="AI231" s="73"/>
      <c r="AJ231" s="77"/>
      <c r="AK231" s="58"/>
      <c r="AL231" s="58"/>
      <c r="AO231" s="59"/>
      <c r="AP231" s="60"/>
      <c r="AQ231" s="61"/>
      <c r="AR231" s="62"/>
      <c r="AS231" s="61"/>
      <c r="AT231" s="61"/>
      <c r="AU231" s="75"/>
      <c r="AV231" s="84"/>
      <c r="AW231" s="92" t="s">
        <v>47</v>
      </c>
      <c r="AX231" s="93" t="s">
        <v>51</v>
      </c>
      <c r="AY231" s="93" t="s">
        <v>43</v>
      </c>
      <c r="BB231" s="59"/>
      <c r="BC231" s="60"/>
      <c r="BD231" s="61"/>
      <c r="BE231" s="62"/>
      <c r="BF231" s="61"/>
      <c r="BG231" s="61"/>
      <c r="BH231" s="75"/>
      <c r="BI231" s="76"/>
    </row>
    <row r="232" spans="2:64">
      <c r="B232" s="69"/>
      <c r="C232" s="70"/>
      <c r="D232" s="85"/>
      <c r="E232" s="70"/>
      <c r="F232" s="70"/>
      <c r="G232" s="70"/>
      <c r="H232" s="72"/>
      <c r="I232" s="73"/>
      <c r="J232" s="86"/>
      <c r="K232" s="77"/>
      <c r="L232" s="87"/>
      <c r="O232" s="59"/>
      <c r="P232" s="61"/>
      <c r="Q232" s="61"/>
      <c r="R232" s="62"/>
      <c r="S232" s="61"/>
      <c r="T232" s="61"/>
      <c r="U232" s="75"/>
      <c r="V232" s="76"/>
      <c r="W232" s="58"/>
      <c r="AB232" s="59"/>
      <c r="AC232" s="60">
        <v>142</v>
      </c>
      <c r="AD232" s="88">
        <v>15</v>
      </c>
      <c r="AE232" s="62"/>
      <c r="AF232" s="61"/>
      <c r="AG232" s="61"/>
      <c r="AH232" s="75"/>
      <c r="AI232" s="76"/>
      <c r="AJ232" s="77"/>
      <c r="AK232" s="58"/>
      <c r="AL232" s="58"/>
      <c r="AO232" s="69"/>
      <c r="AP232" s="70"/>
      <c r="AQ232" s="85"/>
      <c r="AR232" s="70"/>
      <c r="AS232" s="70"/>
      <c r="AT232" s="70"/>
      <c r="AU232" s="72"/>
      <c r="AV232" s="73"/>
      <c r="AW232" s="94" t="s">
        <v>52</v>
      </c>
      <c r="AX232" s="95" t="s">
        <v>27</v>
      </c>
      <c r="AY232" s="95" t="s">
        <v>67</v>
      </c>
      <c r="BB232" s="96"/>
      <c r="BC232" s="97"/>
      <c r="BD232" s="98"/>
      <c r="BE232" s="99"/>
      <c r="BF232" s="98"/>
      <c r="BG232" s="98"/>
      <c r="BH232" s="72"/>
      <c r="BI232" s="73"/>
    </row>
    <row r="233" spans="2:64">
      <c r="B233" s="59"/>
      <c r="C233" s="60"/>
      <c r="D233" s="61"/>
      <c r="E233" s="62">
        <v>350</v>
      </c>
      <c r="F233" s="61">
        <v>35</v>
      </c>
      <c r="G233" s="61"/>
      <c r="H233" s="75"/>
      <c r="I233" s="76"/>
      <c r="J233" s="77"/>
      <c r="K233" s="58"/>
      <c r="L233" s="58"/>
      <c r="O233" s="69"/>
      <c r="P233" s="71"/>
      <c r="Q233" s="71"/>
      <c r="R233" s="70"/>
      <c r="S233" s="70"/>
      <c r="T233" s="70"/>
      <c r="U233" s="72"/>
      <c r="V233" s="73"/>
      <c r="W233" s="58"/>
      <c r="AB233" s="69"/>
      <c r="AC233" s="70"/>
      <c r="AD233" s="71"/>
      <c r="AE233" s="70">
        <v>577</v>
      </c>
      <c r="AF233" s="70">
        <v>57.7</v>
      </c>
      <c r="AG233" s="70"/>
      <c r="AH233" s="72"/>
      <c r="AI233" s="73"/>
      <c r="AJ233" s="89" t="s">
        <v>44</v>
      </c>
      <c r="AK233" s="90" t="s">
        <v>45</v>
      </c>
      <c r="AL233" s="90" t="s">
        <v>46</v>
      </c>
      <c r="AO233" s="59"/>
      <c r="AP233" s="60"/>
      <c r="AQ233" s="61"/>
      <c r="AR233" s="62"/>
      <c r="AS233" s="61"/>
      <c r="AT233" s="61"/>
      <c r="AU233" s="75"/>
      <c r="AV233" s="84"/>
      <c r="AW233" s="77"/>
      <c r="AX233" s="77"/>
      <c r="AY233" s="87"/>
      <c r="BB233" s="59"/>
      <c r="BC233" s="60"/>
      <c r="BD233" s="61"/>
      <c r="BE233" s="62"/>
      <c r="BF233" s="61"/>
      <c r="BG233" s="61"/>
      <c r="BH233" s="75"/>
      <c r="BI233" s="76"/>
    </row>
    <row r="234" spans="2:64">
      <c r="B234" s="69"/>
      <c r="C234" s="70">
        <v>187</v>
      </c>
      <c r="D234" s="71">
        <v>18</v>
      </c>
      <c r="E234" s="70"/>
      <c r="F234" s="70"/>
      <c r="G234" s="70"/>
      <c r="H234" s="72"/>
      <c r="I234" s="73"/>
      <c r="J234" s="77"/>
      <c r="K234" s="58"/>
      <c r="L234" s="58"/>
      <c r="O234" s="59"/>
      <c r="P234" s="61"/>
      <c r="Q234" s="61"/>
      <c r="R234" s="62"/>
      <c r="S234" s="61"/>
      <c r="T234" s="61"/>
      <c r="U234" s="75"/>
      <c r="V234" s="76"/>
      <c r="W234" s="58"/>
      <c r="AB234" s="59"/>
      <c r="AC234" s="60"/>
      <c r="AD234" s="61"/>
      <c r="AE234" s="62">
        <v>137</v>
      </c>
      <c r="AF234" s="61">
        <v>20.55</v>
      </c>
      <c r="AG234" s="61"/>
      <c r="AH234" s="75"/>
      <c r="AI234" s="76"/>
      <c r="AJ234" s="92" t="s">
        <v>47</v>
      </c>
      <c r="AK234" s="93" t="s">
        <v>48</v>
      </c>
      <c r="AL234" s="93" t="s">
        <v>65</v>
      </c>
      <c r="AO234" s="69"/>
      <c r="AP234" s="70"/>
      <c r="AQ234" s="85"/>
      <c r="AR234" s="70"/>
      <c r="AS234" s="70"/>
      <c r="AT234" s="70"/>
      <c r="AU234" s="72"/>
      <c r="AV234" s="73"/>
      <c r="AW234" s="58"/>
      <c r="AX234" s="58"/>
      <c r="AY234" s="58"/>
      <c r="BB234" s="96"/>
      <c r="BC234" s="97"/>
      <c r="BD234" s="98"/>
      <c r="BE234" s="99"/>
      <c r="BF234" s="98"/>
      <c r="BG234" s="98"/>
      <c r="BH234" s="72"/>
      <c r="BI234" s="73"/>
    </row>
    <row r="235" spans="2:64">
      <c r="B235" s="59"/>
      <c r="C235" s="60"/>
      <c r="D235" s="88"/>
      <c r="E235" s="62">
        <v>460</v>
      </c>
      <c r="F235" s="61">
        <v>46</v>
      </c>
      <c r="G235" s="61"/>
      <c r="H235" s="75"/>
      <c r="I235" s="76"/>
      <c r="J235" s="77"/>
      <c r="K235" s="58"/>
      <c r="L235" s="58"/>
      <c r="O235" s="69"/>
      <c r="P235" s="112"/>
      <c r="Q235" s="71"/>
      <c r="R235" s="58"/>
      <c r="S235" s="70"/>
      <c r="T235" s="70"/>
      <c r="U235" s="72"/>
      <c r="V235" s="73"/>
      <c r="AB235" s="69"/>
      <c r="AC235" s="70"/>
      <c r="AD235" s="71"/>
      <c r="AE235" s="70">
        <v>541</v>
      </c>
      <c r="AF235" s="70">
        <v>81.15</v>
      </c>
      <c r="AG235" s="70"/>
      <c r="AH235" s="72"/>
      <c r="AI235" s="73"/>
      <c r="AJ235" s="94" t="s">
        <v>52</v>
      </c>
      <c r="AK235" s="95" t="s">
        <v>27</v>
      </c>
      <c r="AL235" s="95" t="s">
        <v>43</v>
      </c>
      <c r="AO235" s="59"/>
      <c r="AP235" s="60"/>
      <c r="AQ235" s="61"/>
      <c r="AR235" s="62"/>
      <c r="AS235" s="61"/>
      <c r="AT235" s="61"/>
      <c r="AU235" s="75"/>
      <c r="AV235" s="76"/>
      <c r="BB235" s="59"/>
      <c r="BC235" s="60"/>
      <c r="BD235" s="61"/>
      <c r="BE235" s="62"/>
      <c r="BF235" s="61"/>
      <c r="BG235" s="61"/>
      <c r="BH235" s="75"/>
      <c r="BI235" s="76"/>
    </row>
    <row r="236" ht="15.75" spans="2:64">
      <c r="B236" s="69"/>
      <c r="C236" s="70"/>
      <c r="D236" s="71"/>
      <c r="E236" s="70">
        <v>1081</v>
      </c>
      <c r="F236" s="70">
        <v>54.05</v>
      </c>
      <c r="G236" s="70"/>
      <c r="H236" s="72"/>
      <c r="I236" s="73"/>
      <c r="J236" s="89" t="s">
        <v>44</v>
      </c>
      <c r="K236" s="90" t="s">
        <v>45</v>
      </c>
      <c r="L236" s="90" t="s">
        <v>46</v>
      </c>
      <c r="O236" s="59"/>
      <c r="P236" s="60"/>
      <c r="Q236" s="61"/>
      <c r="R236" s="62"/>
      <c r="S236" s="61"/>
      <c r="T236" s="61"/>
      <c r="U236" s="75"/>
      <c r="V236" s="76"/>
      <c r="AB236" s="59"/>
      <c r="AC236" s="60"/>
      <c r="AD236" s="61"/>
      <c r="AE236" s="62"/>
      <c r="AF236" s="61"/>
      <c r="AG236" s="61"/>
      <c r="AH236" s="75"/>
      <c r="AI236" s="76"/>
      <c r="AJ236" s="77"/>
      <c r="AK236" s="77"/>
      <c r="AL236" s="87"/>
      <c r="AO236" s="96"/>
      <c r="AP236" s="97"/>
      <c r="AQ236" s="98"/>
      <c r="AR236" s="99"/>
      <c r="AS236" s="98"/>
      <c r="AT236" s="98"/>
      <c r="AU236" s="72"/>
      <c r="AV236" s="73"/>
      <c r="BB236" s="96"/>
      <c r="BC236" s="97"/>
      <c r="BD236" s="98"/>
      <c r="BE236" s="99"/>
      <c r="BF236" s="98"/>
      <c r="BG236" s="98"/>
      <c r="BH236" s="72"/>
      <c r="BI236" s="73"/>
    </row>
    <row r="237" ht="15.75" spans="2:64">
      <c r="B237" s="59"/>
      <c r="C237" s="60">
        <v>458</v>
      </c>
      <c r="D237" s="61">
        <v>42</v>
      </c>
      <c r="E237" s="62"/>
      <c r="F237" s="61"/>
      <c r="G237" s="61"/>
      <c r="H237" s="75"/>
      <c r="I237" s="76"/>
      <c r="J237" s="92" t="s">
        <v>47</v>
      </c>
      <c r="K237" s="93" t="s">
        <v>77</v>
      </c>
      <c r="L237" s="93" t="s">
        <v>49</v>
      </c>
      <c r="O237" s="96"/>
      <c r="P237" s="97"/>
      <c r="Q237" s="98"/>
      <c r="R237" s="99"/>
      <c r="S237" s="98"/>
      <c r="T237" s="98"/>
      <c r="U237" s="72"/>
      <c r="V237" s="73"/>
      <c r="AB237" s="69"/>
      <c r="AC237" s="70"/>
      <c r="AD237" s="71"/>
      <c r="AE237" s="70"/>
      <c r="AF237" s="70"/>
      <c r="AG237" s="70"/>
      <c r="AH237" s="72"/>
      <c r="AI237" s="73"/>
      <c r="AJ237" s="58"/>
      <c r="AO237" s="59"/>
      <c r="AP237" s="60"/>
      <c r="AQ237" s="61"/>
      <c r="AR237" s="62"/>
      <c r="AS237" s="61"/>
      <c r="AT237" s="61"/>
      <c r="AU237" s="75"/>
      <c r="AV237" s="76"/>
      <c r="BB237" s="102">
        <f t="shared" ref="BB237:BG237" si="42">SUM(BB217:BB236)</f>
        <v>980</v>
      </c>
      <c r="BC237" s="103">
        <f t="shared" si="42"/>
        <v>426</v>
      </c>
      <c r="BD237" s="104">
        <f t="shared" si="42"/>
        <v>40</v>
      </c>
      <c r="BE237" s="105">
        <f t="shared" si="42"/>
        <v>3294</v>
      </c>
      <c r="BF237" s="106">
        <f t="shared" si="42"/>
        <v>297.7</v>
      </c>
      <c r="BG237" s="107">
        <f t="shared" si="42"/>
        <v>655</v>
      </c>
      <c r="BH237" s="108" t="s">
        <v>54</v>
      </c>
      <c r="BI237" s="109"/>
    </row>
    <row r="238" spans="2:64">
      <c r="B238" s="69"/>
      <c r="C238" s="70"/>
      <c r="D238" s="71"/>
      <c r="E238" s="70">
        <v>573</v>
      </c>
      <c r="F238" s="70">
        <v>114.6</v>
      </c>
      <c r="G238" s="70"/>
      <c r="H238" s="72"/>
      <c r="I238" s="73"/>
      <c r="J238" s="94" t="s">
        <v>52</v>
      </c>
      <c r="K238" s="95" t="s">
        <v>27</v>
      </c>
      <c r="L238" s="95" t="s">
        <v>31</v>
      </c>
      <c r="O238" s="59"/>
      <c r="P238" s="60"/>
      <c r="Q238" s="61"/>
      <c r="R238" s="62"/>
      <c r="S238" s="61"/>
      <c r="T238" s="61"/>
      <c r="U238" s="75"/>
      <c r="V238" s="76"/>
      <c r="AB238" s="59"/>
      <c r="AC238" s="60"/>
      <c r="AD238" s="61"/>
      <c r="AE238" s="62"/>
      <c r="AF238" s="61"/>
      <c r="AG238" s="61"/>
      <c r="AH238" s="75"/>
      <c r="AI238" s="76"/>
      <c r="AO238" s="96"/>
      <c r="AP238" s="97"/>
      <c r="AQ238" s="98"/>
      <c r="AR238" s="99"/>
      <c r="AS238" s="98"/>
      <c r="AT238" s="98"/>
      <c r="AU238" s="72"/>
      <c r="AV238" s="73"/>
    </row>
    <row r="239" ht="15.75" spans="2:64">
      <c r="B239" s="59"/>
      <c r="C239" s="60"/>
      <c r="D239" s="61"/>
      <c r="E239" s="62">
        <v>478</v>
      </c>
      <c r="F239" s="61">
        <v>23.9</v>
      </c>
      <c r="G239" s="61"/>
      <c r="H239" s="75"/>
      <c r="I239" s="76"/>
      <c r="J239" s="77"/>
      <c r="K239" s="77"/>
      <c r="L239" s="87"/>
      <c r="O239" s="96"/>
      <c r="P239" s="97"/>
      <c r="Q239" s="98"/>
      <c r="R239" s="99"/>
      <c r="S239" s="98"/>
      <c r="T239" s="98"/>
      <c r="U239" s="100"/>
      <c r="V239" s="101"/>
      <c r="AB239" s="69"/>
      <c r="AC239" s="70"/>
      <c r="AD239" s="71"/>
      <c r="AE239" s="70"/>
      <c r="AF239" s="70"/>
      <c r="AG239" s="70"/>
      <c r="AH239" s="72"/>
      <c r="AI239" s="73"/>
      <c r="AO239" s="59"/>
      <c r="AP239" s="60"/>
      <c r="AQ239" s="61"/>
      <c r="AR239" s="62"/>
      <c r="AS239" s="61"/>
      <c r="AT239" s="61"/>
      <c r="AU239" s="75"/>
      <c r="AV239" s="76"/>
    </row>
    <row r="240" ht="15.75" spans="2:64">
      <c r="B240" s="69"/>
      <c r="C240" s="70"/>
      <c r="D240" s="71"/>
      <c r="E240" s="70">
        <v>452</v>
      </c>
      <c r="F240" s="70">
        <v>80</v>
      </c>
      <c r="G240" s="70"/>
      <c r="H240" s="72"/>
      <c r="I240" s="73"/>
      <c r="J240" s="58"/>
      <c r="K240" s="58"/>
      <c r="L240" s="58"/>
      <c r="O240" s="102">
        <f t="shared" ref="O240:T240" si="43">SUM(O204:O239)</f>
        <v>720</v>
      </c>
      <c r="P240" s="103">
        <f t="shared" si="43"/>
        <v>5481</v>
      </c>
      <c r="Q240" s="104">
        <f t="shared" si="43"/>
        <v>505</v>
      </c>
      <c r="R240" s="105">
        <f t="shared" si="43"/>
        <v>5127</v>
      </c>
      <c r="S240" s="106">
        <f t="shared" si="43"/>
        <v>475.2</v>
      </c>
      <c r="T240" s="107">
        <f t="shared" si="43"/>
        <v>835</v>
      </c>
      <c r="U240" s="108" t="s">
        <v>54</v>
      </c>
      <c r="V240" s="109"/>
      <c r="AB240" s="59"/>
      <c r="AC240" s="60"/>
      <c r="AD240" s="61"/>
      <c r="AE240" s="62"/>
      <c r="AF240" s="61"/>
      <c r="AG240" s="61"/>
      <c r="AH240" s="75"/>
      <c r="AI240" s="76"/>
      <c r="AO240" s="96"/>
      <c r="AP240" s="97"/>
      <c r="AQ240" s="98"/>
      <c r="AR240" s="99"/>
      <c r="AS240" s="98"/>
      <c r="AT240" s="98"/>
      <c r="AU240" s="72"/>
      <c r="AV240" s="73"/>
      <c r="BB240" s="33" t="s">
        <v>161</v>
      </c>
      <c r="BC240" s="34"/>
      <c r="BD240" s="34"/>
      <c r="BE240" s="34"/>
      <c r="BF240" s="34"/>
      <c r="BG240" s="34"/>
      <c r="BH240" s="34"/>
      <c r="BI240" s="34"/>
      <c r="BJ240" s="34"/>
      <c r="BK240" s="34"/>
      <c r="BL240" s="35"/>
    </row>
    <row r="241" ht="15.75" spans="2:64">
      <c r="B241" s="59"/>
      <c r="C241" s="60"/>
      <c r="D241" s="61"/>
      <c r="E241" s="62">
        <v>220</v>
      </c>
      <c r="F241" s="61">
        <v>11</v>
      </c>
      <c r="G241" s="61"/>
      <c r="H241" s="75"/>
      <c r="I241" s="76"/>
      <c r="J241" s="58"/>
      <c r="K241" s="58"/>
      <c r="L241" s="58"/>
      <c r="AB241" s="69"/>
      <c r="AC241" s="70"/>
      <c r="AD241" s="71"/>
      <c r="AE241" s="70"/>
      <c r="AF241" s="70"/>
      <c r="AG241" s="70"/>
      <c r="AH241" s="72"/>
      <c r="AI241" s="73"/>
      <c r="AO241" s="102">
        <f t="shared" ref="AO241:AT241" si="44">SUM(AO221:AO240)</f>
        <v>9503</v>
      </c>
      <c r="AP241" s="103">
        <f t="shared" si="44"/>
        <v>652</v>
      </c>
      <c r="AQ241" s="104">
        <f t="shared" si="44"/>
        <v>41</v>
      </c>
      <c r="AR241" s="105">
        <f t="shared" si="44"/>
        <v>1016</v>
      </c>
      <c r="AS241" s="106">
        <f t="shared" si="44"/>
        <v>106.5</v>
      </c>
      <c r="AT241" s="107">
        <f t="shared" si="44"/>
        <v>5630</v>
      </c>
      <c r="AU241" s="108" t="s">
        <v>54</v>
      </c>
      <c r="AV241" s="109"/>
      <c r="BB241" s="36"/>
      <c r="BC241" s="37"/>
      <c r="BD241" s="37"/>
      <c r="BE241" s="37"/>
      <c r="BF241" s="37"/>
      <c r="BG241" s="37"/>
      <c r="BH241" s="37"/>
      <c r="BI241" s="37"/>
      <c r="BJ241" s="37"/>
      <c r="BK241" s="37"/>
      <c r="BL241" s="38"/>
    </row>
    <row r="242" ht="15.75" spans="2:64">
      <c r="B242" s="69"/>
      <c r="C242" s="71"/>
      <c r="D242" s="71"/>
      <c r="E242" s="70">
        <v>2024</v>
      </c>
      <c r="F242" s="70">
        <v>202.4</v>
      </c>
      <c r="G242" s="70"/>
      <c r="H242" s="72"/>
      <c r="I242" s="73"/>
      <c r="J242" s="58"/>
      <c r="K242" s="58"/>
      <c r="L242" s="58"/>
      <c r="AB242" s="59"/>
      <c r="AC242" s="60"/>
      <c r="AD242" s="61"/>
      <c r="AE242" s="62"/>
      <c r="AF242" s="61"/>
      <c r="AG242" s="61"/>
      <c r="AH242" s="75"/>
      <c r="AI242" s="76"/>
      <c r="BB242" s="39" t="s">
        <v>12</v>
      </c>
      <c r="BC242" s="40" t="s">
        <v>13</v>
      </c>
      <c r="BD242" s="41"/>
      <c r="BE242" s="42" t="s">
        <v>14</v>
      </c>
      <c r="BF242" s="43"/>
      <c r="BG242" s="44" t="s">
        <v>15</v>
      </c>
      <c r="BH242" s="45"/>
      <c r="BI242" s="46"/>
      <c r="BJ242" s="47" t="s">
        <v>16</v>
      </c>
      <c r="BK242" s="48"/>
      <c r="BL242" s="49">
        <f>BC258+BE258</f>
        <v>2152</v>
      </c>
    </row>
    <row r="243" ht="15.75" spans="2:64">
      <c r="B243" s="59"/>
      <c r="C243" s="61">
        <v>137</v>
      </c>
      <c r="D243" s="61"/>
      <c r="E243" s="62"/>
      <c r="F243" s="61"/>
      <c r="G243" s="61"/>
      <c r="H243" s="75"/>
      <c r="I243" s="76"/>
      <c r="J243" s="58"/>
      <c r="K243" s="58"/>
      <c r="L243" s="58"/>
      <c r="O243" s="33" t="s">
        <v>162</v>
      </c>
      <c r="P243" s="34"/>
      <c r="Q243" s="34"/>
      <c r="R243" s="34"/>
      <c r="S243" s="34"/>
      <c r="T243" s="34"/>
      <c r="U243" s="34"/>
      <c r="V243" s="34"/>
      <c r="W243" s="34"/>
      <c r="X243" s="34"/>
      <c r="Y243" s="35"/>
      <c r="AB243" s="69"/>
      <c r="AC243" s="70"/>
      <c r="AD243" s="71"/>
      <c r="AE243" s="70"/>
      <c r="AF243" s="70"/>
      <c r="AG243" s="70"/>
      <c r="AH243" s="72"/>
      <c r="AI243" s="73"/>
      <c r="BB243" s="50"/>
      <c r="BC243" s="51" t="s">
        <v>17</v>
      </c>
      <c r="BD243" s="51" t="s">
        <v>18</v>
      </c>
      <c r="BE243" s="52" t="s">
        <v>17</v>
      </c>
      <c r="BF243" s="52" t="s">
        <v>18</v>
      </c>
      <c r="BG243" s="53"/>
      <c r="BH243" s="54"/>
      <c r="BI243" s="55"/>
      <c r="BJ243" s="56" t="s">
        <v>19</v>
      </c>
      <c r="BK243" s="57"/>
      <c r="BL243" s="49">
        <f>BD258+BF258</f>
        <v>216.5</v>
      </c>
    </row>
    <row r="244" ht="15.75" spans="2:64">
      <c r="B244" s="69"/>
      <c r="C244" s="70"/>
      <c r="D244" s="71"/>
      <c r="E244" s="70"/>
      <c r="F244" s="70"/>
      <c r="G244" s="70"/>
      <c r="H244" s="72"/>
      <c r="I244" s="73"/>
      <c r="J244" s="58"/>
      <c r="K244" s="58"/>
      <c r="L244" s="58"/>
      <c r="O244" s="36"/>
      <c r="P244" s="37"/>
      <c r="Q244" s="37"/>
      <c r="R244" s="37"/>
      <c r="S244" s="37"/>
      <c r="T244" s="37"/>
      <c r="U244" s="37"/>
      <c r="V244" s="37"/>
      <c r="W244" s="37"/>
      <c r="X244" s="37"/>
      <c r="Y244" s="38"/>
      <c r="AB244" s="102">
        <f t="shared" ref="AB244:AG244" si="45">SUM(AB224:AB243)</f>
        <v>2010</v>
      </c>
      <c r="AC244" s="103">
        <f t="shared" si="45"/>
        <v>1865</v>
      </c>
      <c r="AD244" s="104">
        <f t="shared" si="45"/>
        <v>181</v>
      </c>
      <c r="AE244" s="105">
        <f t="shared" si="45"/>
        <v>1689</v>
      </c>
      <c r="AF244" s="106">
        <f t="shared" si="45"/>
        <v>202.8</v>
      </c>
      <c r="AG244" s="107">
        <f t="shared" si="45"/>
        <v>3589</v>
      </c>
      <c r="AH244" s="108" t="s">
        <v>54</v>
      </c>
      <c r="AI244" s="109"/>
      <c r="AO244" s="33" t="s">
        <v>163</v>
      </c>
      <c r="AP244" s="34"/>
      <c r="AQ244" s="34"/>
      <c r="AR244" s="34"/>
      <c r="AS244" s="34"/>
      <c r="AT244" s="34"/>
      <c r="AU244" s="34"/>
      <c r="AV244" s="34"/>
      <c r="AW244" s="34"/>
      <c r="AX244" s="34"/>
      <c r="AY244" s="35"/>
      <c r="BB244" s="59">
        <v>781</v>
      </c>
      <c r="BC244" s="68"/>
      <c r="BD244" s="61"/>
      <c r="BE244" s="62">
        <v>496</v>
      </c>
      <c r="BF244" s="61">
        <v>49.6</v>
      </c>
      <c r="BG244" s="61">
        <v>39</v>
      </c>
      <c r="BH244" s="63" t="s">
        <v>164</v>
      </c>
      <c r="BI244" s="64"/>
      <c r="BJ244" s="65" t="s">
        <v>21</v>
      </c>
      <c r="BK244" s="66"/>
      <c r="BL244" s="67">
        <f>BG258</f>
        <v>64</v>
      </c>
    </row>
    <row r="245" ht="15.75" spans="2:64">
      <c r="B245" s="59"/>
      <c r="C245" s="60"/>
      <c r="D245" s="61"/>
      <c r="E245" s="62"/>
      <c r="F245" s="61"/>
      <c r="G245" s="61"/>
      <c r="H245" s="75"/>
      <c r="I245" s="76"/>
      <c r="O245" s="39" t="s">
        <v>12</v>
      </c>
      <c r="P245" s="40" t="s">
        <v>13</v>
      </c>
      <c r="Q245" s="41"/>
      <c r="R245" s="42" t="s">
        <v>14</v>
      </c>
      <c r="S245" s="43"/>
      <c r="T245" s="44" t="s">
        <v>15</v>
      </c>
      <c r="U245" s="45"/>
      <c r="V245" s="46"/>
      <c r="W245" s="47" t="s">
        <v>16</v>
      </c>
      <c r="X245" s="48"/>
      <c r="Y245" s="49">
        <f>P268+R268</f>
        <v>7006</v>
      </c>
      <c r="AO245" s="36"/>
      <c r="AP245" s="37"/>
      <c r="AQ245" s="37"/>
      <c r="AR245" s="37"/>
      <c r="AS245" s="37"/>
      <c r="AT245" s="37"/>
      <c r="AU245" s="37"/>
      <c r="AV245" s="37"/>
      <c r="AW245" s="37"/>
      <c r="AX245" s="37"/>
      <c r="AY245" s="38"/>
      <c r="BB245" s="69"/>
      <c r="BC245" s="70">
        <v>204</v>
      </c>
      <c r="BD245" s="71"/>
      <c r="BE245" s="70"/>
      <c r="BF245" s="70"/>
      <c r="BG245" s="70">
        <v>25</v>
      </c>
      <c r="BH245" s="72" t="s">
        <v>29</v>
      </c>
      <c r="BI245" s="73"/>
      <c r="BJ245" s="74" t="s">
        <v>26</v>
      </c>
      <c r="BK245" s="57"/>
      <c r="BL245" s="49">
        <f>BB258+BL242+BL243-BL244-BE258-BF258</f>
        <v>1021</v>
      </c>
    </row>
    <row r="246" ht="15.75" spans="2:64">
      <c r="B246" s="69"/>
      <c r="C246" s="112"/>
      <c r="D246" s="71"/>
      <c r="E246" s="58"/>
      <c r="F246" s="70"/>
      <c r="G246" s="70"/>
      <c r="H246" s="72"/>
      <c r="I246" s="73"/>
      <c r="O246" s="50"/>
      <c r="P246" s="51" t="s">
        <v>17</v>
      </c>
      <c r="Q246" s="51" t="s">
        <v>18</v>
      </c>
      <c r="R246" s="52" t="s">
        <v>17</v>
      </c>
      <c r="S246" s="52" t="s">
        <v>18</v>
      </c>
      <c r="T246" s="53"/>
      <c r="U246" s="54"/>
      <c r="V246" s="55"/>
      <c r="W246" s="56" t="s">
        <v>19</v>
      </c>
      <c r="X246" s="57"/>
      <c r="Y246" s="49">
        <f>Q268+S268</f>
        <v>824.85</v>
      </c>
      <c r="AO246" s="39" t="s">
        <v>12</v>
      </c>
      <c r="AP246" s="40" t="s">
        <v>13</v>
      </c>
      <c r="AQ246" s="41"/>
      <c r="AR246" s="42" t="s">
        <v>14</v>
      </c>
      <c r="AS246" s="43"/>
      <c r="AT246" s="44" t="s">
        <v>15</v>
      </c>
      <c r="AU246" s="45"/>
      <c r="AV246" s="46"/>
      <c r="AW246" s="47" t="s">
        <v>16</v>
      </c>
      <c r="AX246" s="48"/>
      <c r="AY246" s="49">
        <f>AP270+AR270</f>
        <v>3792</v>
      </c>
      <c r="BB246" s="59"/>
      <c r="BC246" s="60"/>
      <c r="BD246" s="61">
        <v>100</v>
      </c>
      <c r="BE246" s="62">
        <v>783</v>
      </c>
      <c r="BF246" s="61"/>
      <c r="BG246" s="61"/>
      <c r="BH246" s="75"/>
      <c r="BI246" s="76"/>
      <c r="BJ246" s="77"/>
      <c r="BK246" s="78" t="s">
        <v>30</v>
      </c>
      <c r="BL246" s="79">
        <f>BL243/4</f>
        <v>54.125</v>
      </c>
    </row>
    <row r="247" ht="15.75" spans="2:64">
      <c r="B247" s="59"/>
      <c r="C247" s="60"/>
      <c r="D247" s="61"/>
      <c r="E247" s="62"/>
      <c r="F247" s="61"/>
      <c r="G247" s="61"/>
      <c r="H247" s="75"/>
      <c r="I247" s="76"/>
      <c r="O247" s="59">
        <v>5870</v>
      </c>
      <c r="P247" s="60">
        <v>258</v>
      </c>
      <c r="Q247" s="61">
        <v>42</v>
      </c>
      <c r="R247" s="62"/>
      <c r="S247" s="61"/>
      <c r="T247" s="61">
        <v>46.5</v>
      </c>
      <c r="U247" s="63" t="s">
        <v>165</v>
      </c>
      <c r="V247" s="64"/>
      <c r="W247" s="65" t="s">
        <v>21</v>
      </c>
      <c r="X247" s="66"/>
      <c r="Y247" s="67">
        <f>T268</f>
        <v>3303.5</v>
      </c>
      <c r="AB247" s="33" t="s">
        <v>166</v>
      </c>
      <c r="AC247" s="34"/>
      <c r="AD247" s="34"/>
      <c r="AE247" s="34"/>
      <c r="AF247" s="34"/>
      <c r="AG247" s="34"/>
      <c r="AH247" s="34"/>
      <c r="AI247" s="34"/>
      <c r="AJ247" s="34"/>
      <c r="AK247" s="34"/>
      <c r="AL247" s="35"/>
      <c r="AO247" s="50"/>
      <c r="AP247" s="51" t="s">
        <v>17</v>
      </c>
      <c r="AQ247" s="51" t="s">
        <v>18</v>
      </c>
      <c r="AR247" s="52" t="s">
        <v>17</v>
      </c>
      <c r="AS247" s="52" t="s">
        <v>18</v>
      </c>
      <c r="AT247" s="53"/>
      <c r="AU247" s="54"/>
      <c r="AV247" s="55"/>
      <c r="AW247" s="56" t="s">
        <v>19</v>
      </c>
      <c r="AX247" s="57"/>
      <c r="AY247" s="49">
        <f>AQ270+AS270</f>
        <v>150.6</v>
      </c>
      <c r="BB247" s="69"/>
      <c r="BC247" s="70"/>
      <c r="BD247" s="71"/>
      <c r="BE247" s="70">
        <v>669</v>
      </c>
      <c r="BF247" s="70">
        <v>66.9</v>
      </c>
      <c r="BG247" s="70"/>
      <c r="BH247" s="72"/>
      <c r="BI247" s="73"/>
      <c r="BJ247" s="77"/>
      <c r="BK247" s="80" t="s">
        <v>34</v>
      </c>
      <c r="BL247" s="81">
        <f>BL243/6</f>
        <v>36.0833333333333</v>
      </c>
    </row>
    <row r="248" ht="15.75" spans="2:64">
      <c r="B248" s="96"/>
      <c r="C248" s="97"/>
      <c r="D248" s="98"/>
      <c r="E248" s="99"/>
      <c r="F248" s="98"/>
      <c r="G248" s="98"/>
      <c r="H248" s="72"/>
      <c r="I248" s="73"/>
      <c r="O248" s="69"/>
      <c r="P248" s="70"/>
      <c r="Q248" s="71"/>
      <c r="R248" s="70">
        <v>258</v>
      </c>
      <c r="S248" s="70">
        <v>39.7</v>
      </c>
      <c r="T248" s="70">
        <v>30</v>
      </c>
      <c r="U248" s="72" t="s">
        <v>97</v>
      </c>
      <c r="V248" s="73"/>
      <c r="W248" s="74" t="s">
        <v>26</v>
      </c>
      <c r="X248" s="57"/>
      <c r="Y248" s="49">
        <f>O268+Y245+Y246-Y247-R268-S268</f>
        <v>5123.5</v>
      </c>
      <c r="AB248" s="36"/>
      <c r="AC248" s="37"/>
      <c r="AD248" s="37"/>
      <c r="AE248" s="37"/>
      <c r="AF248" s="37"/>
      <c r="AG248" s="37"/>
      <c r="AH248" s="37"/>
      <c r="AI248" s="37"/>
      <c r="AJ248" s="37"/>
      <c r="AK248" s="37"/>
      <c r="AL248" s="38"/>
      <c r="AO248" s="59">
        <v>4553</v>
      </c>
      <c r="AP248" s="68">
        <v>480</v>
      </c>
      <c r="AQ248" s="61">
        <v>5</v>
      </c>
      <c r="AR248" s="62"/>
      <c r="AS248" s="61"/>
      <c r="AT248" s="61">
        <v>30</v>
      </c>
      <c r="AU248" s="63" t="s">
        <v>167</v>
      </c>
      <c r="AV248" s="64"/>
      <c r="AW248" s="65" t="s">
        <v>21</v>
      </c>
      <c r="AX248" s="66"/>
      <c r="AY248" s="67">
        <f>AT270</f>
        <v>5078</v>
      </c>
      <c r="BB248" s="59"/>
      <c r="BC248" s="60"/>
      <c r="BD248" s="61"/>
      <c r="BE248" s="62"/>
      <c r="BF248" s="61"/>
      <c r="BG248" s="61"/>
      <c r="BH248" s="75"/>
      <c r="BI248" s="84"/>
      <c r="BJ248" s="77"/>
      <c r="BK248" s="82" t="s">
        <v>37</v>
      </c>
      <c r="BL248" s="83">
        <f>BL243/8</f>
        <v>27.0625</v>
      </c>
    </row>
    <row r="249" ht="15.75" spans="2:64">
      <c r="B249" s="59"/>
      <c r="C249" s="60"/>
      <c r="D249" s="61"/>
      <c r="E249" s="62"/>
      <c r="F249" s="61"/>
      <c r="G249" s="61"/>
      <c r="H249" s="75"/>
      <c r="I249" s="76"/>
      <c r="O249" s="59"/>
      <c r="P249" s="60">
        <v>274</v>
      </c>
      <c r="Q249" s="61">
        <v>20</v>
      </c>
      <c r="R249" s="62"/>
      <c r="S249" s="61"/>
      <c r="T249" s="61">
        <v>1000</v>
      </c>
      <c r="U249" s="75" t="s">
        <v>77</v>
      </c>
      <c r="V249" s="76"/>
      <c r="W249" s="77"/>
      <c r="X249" s="78" t="s">
        <v>30</v>
      </c>
      <c r="Y249" s="79">
        <f>Y246/4</f>
        <v>206.2125</v>
      </c>
      <c r="AB249" s="39" t="s">
        <v>12</v>
      </c>
      <c r="AC249" s="40" t="s">
        <v>13</v>
      </c>
      <c r="AD249" s="41"/>
      <c r="AE249" s="42" t="s">
        <v>14</v>
      </c>
      <c r="AF249" s="43"/>
      <c r="AG249" s="44" t="s">
        <v>15</v>
      </c>
      <c r="AH249" s="45"/>
      <c r="AI249" s="46"/>
      <c r="AJ249" s="47" t="s">
        <v>16</v>
      </c>
      <c r="AK249" s="48"/>
      <c r="AL249" s="49">
        <f>AC269+AE269</f>
        <v>3938</v>
      </c>
      <c r="AO249" s="69"/>
      <c r="AP249" s="70">
        <v>220</v>
      </c>
      <c r="AQ249" s="71">
        <v>22</v>
      </c>
      <c r="AR249" s="70"/>
      <c r="AS249" s="70"/>
      <c r="AT249" s="70">
        <v>30</v>
      </c>
      <c r="AU249" s="72" t="s">
        <v>29</v>
      </c>
      <c r="AV249" s="73"/>
      <c r="AW249" s="74" t="s">
        <v>26</v>
      </c>
      <c r="AX249" s="57"/>
      <c r="AY249" s="49">
        <f>AO270+AY246+AY247-AY248-AR270-AS270</f>
        <v>932</v>
      </c>
      <c r="BB249" s="69"/>
      <c r="BC249" s="70"/>
      <c r="BD249" s="85"/>
      <c r="BE249" s="70"/>
      <c r="BF249" s="70"/>
      <c r="BG249" s="70"/>
      <c r="BH249" s="72"/>
      <c r="BI249" s="73"/>
      <c r="BJ249" s="86"/>
      <c r="BK249" s="77"/>
      <c r="BL249" s="87"/>
    </row>
    <row r="250" ht="15.75" spans="2:64">
      <c r="B250" s="69"/>
      <c r="C250" s="112"/>
      <c r="D250" s="71"/>
      <c r="E250" s="58"/>
      <c r="F250" s="70"/>
      <c r="G250" s="70"/>
      <c r="H250" s="72"/>
      <c r="I250" s="73"/>
      <c r="O250" s="69"/>
      <c r="P250" s="70">
        <v>620</v>
      </c>
      <c r="Q250" s="71">
        <v>60</v>
      </c>
      <c r="R250" s="70"/>
      <c r="S250" s="70"/>
      <c r="T250" s="70">
        <v>30</v>
      </c>
      <c r="U250" s="72" t="s">
        <v>29</v>
      </c>
      <c r="V250" s="73"/>
      <c r="W250" s="77"/>
      <c r="X250" s="80" t="s">
        <v>34</v>
      </c>
      <c r="Y250" s="81">
        <f>Y246/6</f>
        <v>137.475</v>
      </c>
      <c r="AB250" s="50"/>
      <c r="AC250" s="51" t="s">
        <v>17</v>
      </c>
      <c r="AD250" s="51" t="s">
        <v>18</v>
      </c>
      <c r="AE250" s="52" t="s">
        <v>17</v>
      </c>
      <c r="AF250" s="52" t="s">
        <v>18</v>
      </c>
      <c r="AG250" s="53"/>
      <c r="AH250" s="54"/>
      <c r="AI250" s="55"/>
      <c r="AJ250" s="56" t="s">
        <v>19</v>
      </c>
      <c r="AK250" s="57"/>
      <c r="AL250" s="49">
        <f>AD269+AF269</f>
        <v>440.4</v>
      </c>
      <c r="AO250" s="59"/>
      <c r="AP250" s="60">
        <v>258</v>
      </c>
      <c r="AQ250" s="61">
        <v>22</v>
      </c>
      <c r="AR250" s="62"/>
      <c r="AS250" s="61"/>
      <c r="AT250" s="61">
        <v>3936</v>
      </c>
      <c r="AU250" s="75" t="s">
        <v>105</v>
      </c>
      <c r="AV250" s="76"/>
      <c r="AW250" s="77"/>
      <c r="AX250" s="78" t="s">
        <v>30</v>
      </c>
      <c r="AY250" s="79">
        <f>AY247/4</f>
        <v>37.65</v>
      </c>
      <c r="BB250" s="59"/>
      <c r="BC250" s="60"/>
      <c r="BD250" s="61"/>
      <c r="BE250" s="62"/>
      <c r="BF250" s="61"/>
      <c r="BG250" s="61"/>
      <c r="BH250" s="75"/>
      <c r="BI250" s="84"/>
      <c r="BJ250" s="77"/>
      <c r="BK250" s="58"/>
      <c r="BL250" s="58"/>
    </row>
    <row r="251" ht="15.75" spans="2:64">
      <c r="B251" s="102">
        <f t="shared" ref="B251:G251" si="46">SUM(B227:B250)</f>
        <v>508</v>
      </c>
      <c r="C251" s="103">
        <f t="shared" si="46"/>
        <v>2898</v>
      </c>
      <c r="D251" s="104">
        <f t="shared" si="46"/>
        <v>166</v>
      </c>
      <c r="E251" s="105">
        <f t="shared" si="46"/>
        <v>5638</v>
      </c>
      <c r="F251" s="106">
        <f t="shared" si="46"/>
        <v>566.95</v>
      </c>
      <c r="G251" s="107">
        <f t="shared" si="46"/>
        <v>449</v>
      </c>
      <c r="H251" s="108" t="s">
        <v>54</v>
      </c>
      <c r="I251" s="109"/>
      <c r="O251" s="59"/>
      <c r="P251" s="60"/>
      <c r="Q251" s="61"/>
      <c r="R251" s="62">
        <v>170</v>
      </c>
      <c r="S251" s="61"/>
      <c r="T251" s="61">
        <v>2197</v>
      </c>
      <c r="U251" s="75" t="s">
        <v>43</v>
      </c>
      <c r="V251" s="76"/>
      <c r="W251" s="77"/>
      <c r="X251" s="82" t="s">
        <v>37</v>
      </c>
      <c r="Y251" s="83">
        <f>Y246/8</f>
        <v>103.10625</v>
      </c>
      <c r="AB251" s="59">
        <v>467</v>
      </c>
      <c r="AC251" s="60">
        <v>127</v>
      </c>
      <c r="AD251" s="61">
        <v>14</v>
      </c>
      <c r="AE251" s="62"/>
      <c r="AF251" s="61"/>
      <c r="AG251" s="61">
        <v>141</v>
      </c>
      <c r="AH251" s="63" t="s">
        <v>36</v>
      </c>
      <c r="AI251" s="64"/>
      <c r="AJ251" s="65" t="s">
        <v>21</v>
      </c>
      <c r="AK251" s="66"/>
      <c r="AL251" s="67">
        <f>AG269</f>
        <v>371</v>
      </c>
      <c r="AO251" s="69"/>
      <c r="AP251" s="70">
        <v>400</v>
      </c>
      <c r="AQ251" s="71">
        <v>50</v>
      </c>
      <c r="AR251" s="70"/>
      <c r="AS251" s="70"/>
      <c r="AT251" s="70">
        <v>38</v>
      </c>
      <c r="AU251" s="72" t="s">
        <v>58</v>
      </c>
      <c r="AV251" s="73"/>
      <c r="AW251" s="77"/>
      <c r="AX251" s="80" t="s">
        <v>34</v>
      </c>
      <c r="AY251" s="81">
        <f>AY247/6</f>
        <v>25.1</v>
      </c>
      <c r="BB251" s="69"/>
      <c r="BC251" s="70"/>
      <c r="BD251" s="85"/>
      <c r="BE251" s="70"/>
      <c r="BF251" s="70"/>
      <c r="BG251" s="70"/>
      <c r="BH251" s="72"/>
      <c r="BI251" s="73"/>
      <c r="BJ251" s="77"/>
      <c r="BK251" s="58"/>
      <c r="BL251" s="58"/>
    </row>
    <row r="252" ht="15.75" spans="2:64">
      <c r="O252" s="69"/>
      <c r="P252" s="70"/>
      <c r="Q252" s="85"/>
      <c r="R252" s="70">
        <v>285</v>
      </c>
      <c r="S252" s="70">
        <v>28</v>
      </c>
      <c r="T252" s="70"/>
      <c r="U252" s="72"/>
      <c r="V252" s="73"/>
      <c r="W252" s="86"/>
      <c r="X252" s="77"/>
      <c r="Y252" s="87"/>
      <c r="AB252" s="69"/>
      <c r="AC252" s="70"/>
      <c r="AD252" s="71"/>
      <c r="AE252" s="70">
        <v>322</v>
      </c>
      <c r="AF252" s="70">
        <v>32.2</v>
      </c>
      <c r="AG252" s="70">
        <v>140</v>
      </c>
      <c r="AH252" s="72" t="s">
        <v>63</v>
      </c>
      <c r="AI252" s="73"/>
      <c r="AJ252" s="74" t="s">
        <v>26</v>
      </c>
      <c r="AK252" s="57"/>
      <c r="AL252" s="49">
        <f>AB269+AL249+AL250-AL251-AE269-AF269</f>
        <v>982</v>
      </c>
      <c r="AO252" s="59"/>
      <c r="AP252" s="60"/>
      <c r="AQ252" s="61"/>
      <c r="AR252" s="62">
        <v>1918</v>
      </c>
      <c r="AS252" s="61"/>
      <c r="AT252" s="61">
        <v>1044</v>
      </c>
      <c r="AU252" s="75" t="s">
        <v>168</v>
      </c>
      <c r="AV252" s="84"/>
      <c r="AW252" s="77"/>
      <c r="AX252" s="82" t="s">
        <v>37</v>
      </c>
      <c r="AY252" s="83">
        <f>AY247/8</f>
        <v>18.825</v>
      </c>
      <c r="BB252" s="59"/>
      <c r="BC252" s="60"/>
      <c r="BD252" s="61"/>
      <c r="BE252" s="62"/>
      <c r="BF252" s="61"/>
      <c r="BG252" s="61"/>
      <c r="BH252" s="75"/>
      <c r="BI252" s="84"/>
      <c r="BJ252" s="77"/>
      <c r="BK252" s="58"/>
      <c r="BL252" s="58"/>
    </row>
    <row r="253" ht="15.75" spans="2:64">
      <c r="O253" s="59"/>
      <c r="P253" s="60">
        <v>537</v>
      </c>
      <c r="Q253" s="61">
        <v>63</v>
      </c>
      <c r="R253" s="62"/>
      <c r="S253" s="61"/>
      <c r="T253" s="61"/>
      <c r="U253" s="75"/>
      <c r="V253" s="76"/>
      <c r="W253" s="77"/>
      <c r="X253" s="58"/>
      <c r="Y253" s="58"/>
      <c r="AB253" s="59"/>
      <c r="AC253" s="60"/>
      <c r="AD253" s="61"/>
      <c r="AE253" s="62">
        <v>480</v>
      </c>
      <c r="AF253" s="61">
        <v>72</v>
      </c>
      <c r="AG253" s="61">
        <v>30</v>
      </c>
      <c r="AH253" s="75" t="s">
        <v>29</v>
      </c>
      <c r="AI253" s="76"/>
      <c r="AJ253" s="77"/>
      <c r="AK253" s="78" t="s">
        <v>30</v>
      </c>
      <c r="AL253" s="79">
        <f>AL250/4</f>
        <v>110.1</v>
      </c>
      <c r="AO253" s="69"/>
      <c r="AP253" s="70"/>
      <c r="AQ253" s="85"/>
      <c r="AR253" s="70">
        <v>516</v>
      </c>
      <c r="AS253" s="70">
        <v>51.6</v>
      </c>
      <c r="AT253" s="70"/>
      <c r="AU253" s="72"/>
      <c r="AV253" s="73"/>
      <c r="AW253" s="86"/>
      <c r="AX253" s="77"/>
      <c r="AY253" s="87"/>
      <c r="BB253" s="69"/>
      <c r="BC253" s="70"/>
      <c r="BD253" s="85"/>
      <c r="BE253" s="70"/>
      <c r="BF253" s="70"/>
      <c r="BG253" s="70"/>
      <c r="BH253" s="72"/>
      <c r="BI253" s="73"/>
      <c r="BJ253" s="89" t="s">
        <v>44</v>
      </c>
      <c r="BK253" s="90" t="s">
        <v>45</v>
      </c>
      <c r="BL253" s="90" t="s">
        <v>46</v>
      </c>
    </row>
    <row r="254" ht="16" customHeight="1" spans="2:64">
      <c r="B254" s="33" t="s">
        <v>169</v>
      </c>
      <c r="C254" s="34"/>
      <c r="D254" s="34"/>
      <c r="E254" s="34"/>
      <c r="F254" s="34"/>
      <c r="G254" s="34"/>
      <c r="H254" s="34"/>
      <c r="I254" s="34"/>
      <c r="J254" s="34"/>
      <c r="K254" s="34"/>
      <c r="L254" s="35"/>
      <c r="O254" s="69"/>
      <c r="P254" s="70">
        <v>400</v>
      </c>
      <c r="Q254" s="71">
        <v>100</v>
      </c>
      <c r="R254" s="70"/>
      <c r="S254" s="70"/>
      <c r="T254" s="70"/>
      <c r="U254" s="72"/>
      <c r="V254" s="73"/>
      <c r="W254" s="77"/>
      <c r="X254" s="58"/>
      <c r="Y254" s="58"/>
      <c r="AB254" s="69"/>
      <c r="AC254" s="70"/>
      <c r="AD254" s="71"/>
      <c r="AE254" s="70">
        <v>297</v>
      </c>
      <c r="AF254" s="70">
        <v>29.7</v>
      </c>
      <c r="AG254" s="70">
        <v>60</v>
      </c>
      <c r="AH254" s="72" t="s">
        <v>170</v>
      </c>
      <c r="AI254" s="73"/>
      <c r="AJ254" s="77"/>
      <c r="AK254" s="80" t="s">
        <v>34</v>
      </c>
      <c r="AL254" s="81">
        <f>AL250/6</f>
        <v>73.4</v>
      </c>
      <c r="AO254" s="59"/>
      <c r="AP254" s="60"/>
      <c r="AQ254" s="61"/>
      <c r="AR254" s="62"/>
      <c r="AS254" s="61"/>
      <c r="AT254" s="61"/>
      <c r="AU254" s="75"/>
      <c r="AV254" s="84"/>
      <c r="AW254" s="77"/>
      <c r="AX254" s="58"/>
      <c r="AY254" s="58"/>
      <c r="BB254" s="59"/>
      <c r="BC254" s="60"/>
      <c r="BD254" s="61"/>
      <c r="BE254" s="62"/>
      <c r="BF254" s="61"/>
      <c r="BG254" s="61"/>
      <c r="BH254" s="75"/>
      <c r="BI254" s="84"/>
      <c r="BJ254" s="92" t="s">
        <v>47</v>
      </c>
      <c r="BK254" s="93" t="s">
        <v>27</v>
      </c>
      <c r="BL254" s="93" t="s">
        <v>43</v>
      </c>
    </row>
    <row r="255" ht="15.75" customHeight="1" spans="2:64">
      <c r="B255" s="36"/>
      <c r="C255" s="37"/>
      <c r="D255" s="37"/>
      <c r="E255" s="37"/>
      <c r="F255" s="37"/>
      <c r="G255" s="37"/>
      <c r="H255" s="37"/>
      <c r="I255" s="37"/>
      <c r="J255" s="37"/>
      <c r="K255" s="37"/>
      <c r="L255" s="38"/>
      <c r="O255" s="59"/>
      <c r="P255" s="60"/>
      <c r="Q255" s="88"/>
      <c r="R255" s="62">
        <v>230</v>
      </c>
      <c r="S255" s="61">
        <v>23</v>
      </c>
      <c r="T255" s="61"/>
      <c r="U255" s="75"/>
      <c r="V255" s="76"/>
      <c r="W255" s="77"/>
      <c r="X255" s="58"/>
      <c r="Y255" s="58"/>
      <c r="AB255" s="59"/>
      <c r="AC255" s="60"/>
      <c r="AD255" s="61"/>
      <c r="AE255" s="62">
        <v>170</v>
      </c>
      <c r="AF255" s="61"/>
      <c r="AG255" s="61"/>
      <c r="AH255" s="75"/>
      <c r="AI255" s="76"/>
      <c r="AJ255" s="77"/>
      <c r="AK255" s="82" t="s">
        <v>37</v>
      </c>
      <c r="AL255" s="83">
        <f>AL250/8</f>
        <v>55.05</v>
      </c>
      <c r="AO255" s="69"/>
      <c r="AP255" s="70"/>
      <c r="AQ255" s="85"/>
      <c r="AR255" s="70"/>
      <c r="AS255" s="70"/>
      <c r="AT255" s="70"/>
      <c r="AU255" s="72"/>
      <c r="AV255" s="73"/>
      <c r="AW255" s="77"/>
      <c r="AX255" s="58"/>
      <c r="AY255" s="58"/>
      <c r="BB255" s="69"/>
      <c r="BC255" s="70"/>
      <c r="BD255" s="85"/>
      <c r="BE255" s="70"/>
      <c r="BF255" s="70"/>
      <c r="BG255" s="70"/>
      <c r="BH255" s="72"/>
      <c r="BI255" s="73"/>
      <c r="BJ255" s="94" t="s">
        <v>52</v>
      </c>
      <c r="BK255" s="95" t="s">
        <v>48</v>
      </c>
      <c r="BL255" s="95" t="s">
        <v>65</v>
      </c>
    </row>
    <row r="256" ht="15.75" spans="2:64">
      <c r="B256" s="39" t="s">
        <v>12</v>
      </c>
      <c r="C256" s="40" t="s">
        <v>13</v>
      </c>
      <c r="D256" s="41"/>
      <c r="E256" s="42" t="s">
        <v>14</v>
      </c>
      <c r="F256" s="43"/>
      <c r="G256" s="44" t="s">
        <v>15</v>
      </c>
      <c r="H256" s="45"/>
      <c r="I256" s="46"/>
      <c r="J256" s="47" t="s">
        <v>16</v>
      </c>
      <c r="K256" s="48"/>
      <c r="L256" s="49">
        <f>C282+E282</f>
        <v>6012</v>
      </c>
      <c r="O256" s="69"/>
      <c r="P256" s="70"/>
      <c r="Q256" s="71"/>
      <c r="R256" s="70">
        <v>887</v>
      </c>
      <c r="S256" s="70">
        <v>88.7</v>
      </c>
      <c r="T256" s="70"/>
      <c r="U256" s="72"/>
      <c r="V256" s="73"/>
      <c r="W256" s="89" t="s">
        <v>44</v>
      </c>
      <c r="X256" s="90" t="s">
        <v>45</v>
      </c>
      <c r="Y256" s="90" t="s">
        <v>46</v>
      </c>
      <c r="AB256" s="69"/>
      <c r="AC256" s="70"/>
      <c r="AD256" s="85"/>
      <c r="AE256" s="70">
        <v>137</v>
      </c>
      <c r="AF256" s="70"/>
      <c r="AG256" s="70"/>
      <c r="AH256" s="72"/>
      <c r="AI256" s="73"/>
      <c r="AJ256" s="86"/>
      <c r="AK256" s="77"/>
      <c r="AL256" s="87"/>
      <c r="AO256" s="59"/>
      <c r="AP256" s="60"/>
      <c r="AQ256" s="61"/>
      <c r="AR256" s="62"/>
      <c r="AS256" s="61"/>
      <c r="AT256" s="61"/>
      <c r="AU256" s="75"/>
      <c r="AV256" s="84"/>
      <c r="AW256" s="77"/>
      <c r="AX256" s="58"/>
      <c r="AY256" s="58"/>
      <c r="BB256" s="59"/>
      <c r="BC256" s="60"/>
      <c r="BD256" s="61"/>
      <c r="BE256" s="62"/>
      <c r="BF256" s="61"/>
      <c r="BG256" s="61"/>
      <c r="BH256" s="75"/>
      <c r="BI256" s="84"/>
      <c r="BJ256" s="77"/>
      <c r="BK256" s="77"/>
      <c r="BL256" s="87"/>
    </row>
    <row r="257" ht="15.75" spans="2:64">
      <c r="B257" s="50"/>
      <c r="C257" s="51" t="s">
        <v>17</v>
      </c>
      <c r="D257" s="51" t="s">
        <v>18</v>
      </c>
      <c r="E257" s="52" t="s">
        <v>17</v>
      </c>
      <c r="F257" s="52" t="s">
        <v>18</v>
      </c>
      <c r="G257" s="53"/>
      <c r="H257" s="54"/>
      <c r="I257" s="55"/>
      <c r="J257" s="56" t="s">
        <v>19</v>
      </c>
      <c r="K257" s="57"/>
      <c r="L257" s="49">
        <f>D282+F282</f>
        <v>629.85</v>
      </c>
      <c r="O257" s="59"/>
      <c r="P257" s="60"/>
      <c r="Q257" s="61"/>
      <c r="R257" s="62">
        <v>470</v>
      </c>
      <c r="S257" s="61">
        <v>47</v>
      </c>
      <c r="T257" s="61"/>
      <c r="U257" s="75"/>
      <c r="V257" s="76"/>
      <c r="W257" s="92" t="s">
        <v>47</v>
      </c>
      <c r="X257" s="93" t="s">
        <v>48</v>
      </c>
      <c r="Y257" s="93" t="s">
        <v>154</v>
      </c>
      <c r="AB257" s="59"/>
      <c r="AC257" s="60"/>
      <c r="AD257" s="61"/>
      <c r="AE257" s="62">
        <v>235</v>
      </c>
      <c r="AF257" s="61">
        <v>23.5</v>
      </c>
      <c r="AG257" s="61"/>
      <c r="AH257" s="75"/>
      <c r="AI257" s="76"/>
      <c r="AJ257" s="77"/>
      <c r="AK257" s="58"/>
      <c r="AL257" s="58"/>
      <c r="AO257" s="69"/>
      <c r="AP257" s="70"/>
      <c r="AQ257" s="85"/>
      <c r="AR257" s="70"/>
      <c r="AS257" s="70"/>
      <c r="AT257" s="70"/>
      <c r="AU257" s="72"/>
      <c r="AV257" s="73"/>
      <c r="AW257" s="89" t="s">
        <v>44</v>
      </c>
      <c r="AX257" s="90" t="s">
        <v>45</v>
      </c>
      <c r="AY257" s="90" t="s">
        <v>46</v>
      </c>
      <c r="BB257" s="96"/>
      <c r="BC257" s="97"/>
      <c r="BD257" s="98"/>
      <c r="BE257" s="99"/>
      <c r="BF257" s="98"/>
      <c r="BG257" s="98"/>
      <c r="BH257" s="72"/>
      <c r="BI257" s="73"/>
    </row>
    <row r="258" ht="15.75" spans="2:64">
      <c r="B258" s="59">
        <v>423</v>
      </c>
      <c r="C258" s="60">
        <v>651</v>
      </c>
      <c r="D258" s="61">
        <v>99</v>
      </c>
      <c r="E258" s="62"/>
      <c r="F258" s="61"/>
      <c r="G258" s="61">
        <v>30</v>
      </c>
      <c r="H258" s="63" t="s">
        <v>74</v>
      </c>
      <c r="I258" s="64"/>
      <c r="J258" s="65" t="s">
        <v>21</v>
      </c>
      <c r="K258" s="66"/>
      <c r="L258" s="67">
        <f>G282</f>
        <v>1433</v>
      </c>
      <c r="O258" s="69"/>
      <c r="P258" s="70"/>
      <c r="Q258" s="71"/>
      <c r="R258" s="70">
        <v>630</v>
      </c>
      <c r="S258" s="70">
        <v>94.5</v>
      </c>
      <c r="T258" s="70"/>
      <c r="U258" s="72"/>
      <c r="V258" s="73"/>
      <c r="W258" s="94" t="s">
        <v>52</v>
      </c>
      <c r="X258" s="95" t="s">
        <v>27</v>
      </c>
      <c r="Y258" s="95" t="s">
        <v>43</v>
      </c>
      <c r="AB258" s="69"/>
      <c r="AC258" s="70">
        <v>235</v>
      </c>
      <c r="AD258" s="71">
        <v>65</v>
      </c>
      <c r="AE258" s="70"/>
      <c r="AF258" s="70"/>
      <c r="AG258" s="70"/>
      <c r="AH258" s="72"/>
      <c r="AI258" s="73"/>
      <c r="AJ258" s="77"/>
      <c r="AK258" s="58"/>
      <c r="AL258" s="58"/>
      <c r="AO258" s="59"/>
      <c r="AP258" s="60"/>
      <c r="AQ258" s="61"/>
      <c r="AR258" s="62"/>
      <c r="AS258" s="61"/>
      <c r="AT258" s="61"/>
      <c r="AU258" s="75"/>
      <c r="AV258" s="84"/>
      <c r="AW258" s="92" t="s">
        <v>47</v>
      </c>
      <c r="AX258" s="93" t="s">
        <v>51</v>
      </c>
      <c r="AY258" s="93" t="s">
        <v>43</v>
      </c>
      <c r="BB258" s="102">
        <f t="shared" ref="BB258:BG258" si="47">SUM(BB244:BB257)</f>
        <v>781</v>
      </c>
      <c r="BC258" s="103">
        <f t="shared" si="47"/>
        <v>204</v>
      </c>
      <c r="BD258" s="104">
        <f t="shared" si="47"/>
        <v>100</v>
      </c>
      <c r="BE258" s="105">
        <f t="shared" si="47"/>
        <v>1948</v>
      </c>
      <c r="BF258" s="106">
        <f t="shared" si="47"/>
        <v>116.5</v>
      </c>
      <c r="BG258" s="107">
        <f t="shared" si="47"/>
        <v>64</v>
      </c>
      <c r="BH258" s="108" t="s">
        <v>54</v>
      </c>
      <c r="BI258" s="109"/>
    </row>
    <row r="259" ht="15.75" spans="2:64">
      <c r="B259" s="69"/>
      <c r="C259" s="70">
        <v>335</v>
      </c>
      <c r="D259" s="71">
        <v>50</v>
      </c>
      <c r="E259" s="70"/>
      <c r="F259" s="70"/>
      <c r="G259" s="70">
        <v>20</v>
      </c>
      <c r="H259" s="72" t="s">
        <v>171</v>
      </c>
      <c r="I259" s="73"/>
      <c r="J259" s="74" t="s">
        <v>26</v>
      </c>
      <c r="K259" s="57"/>
      <c r="L259" s="49">
        <f>B282+L256+L257-L258-E282-F282</f>
        <v>2831</v>
      </c>
      <c r="O259" s="59"/>
      <c r="P259" s="60"/>
      <c r="Q259" s="61"/>
      <c r="R259" s="62">
        <v>1213</v>
      </c>
      <c r="S259" s="61">
        <v>148.95</v>
      </c>
      <c r="T259" s="61"/>
      <c r="U259" s="75"/>
      <c r="V259" s="76"/>
      <c r="W259" s="77"/>
      <c r="X259" s="77"/>
      <c r="Y259" s="87"/>
      <c r="AB259" s="59"/>
      <c r="AC259" s="60"/>
      <c r="AD259" s="88"/>
      <c r="AE259" s="62">
        <v>308</v>
      </c>
      <c r="AF259" s="61">
        <v>30.8</v>
      </c>
      <c r="AG259" s="61"/>
      <c r="AH259" s="75"/>
      <c r="AI259" s="76"/>
      <c r="AJ259" s="77"/>
      <c r="AK259" s="58"/>
      <c r="AL259" s="58"/>
      <c r="AO259" s="69"/>
      <c r="AP259" s="70"/>
      <c r="AQ259" s="85"/>
      <c r="AR259" s="70"/>
      <c r="AS259" s="70"/>
      <c r="AT259" s="70"/>
      <c r="AU259" s="72"/>
      <c r="AV259" s="73"/>
      <c r="AW259" s="94" t="s">
        <v>52</v>
      </c>
      <c r="AX259" s="95" t="s">
        <v>27</v>
      </c>
      <c r="AY259" s="95" t="s">
        <v>67</v>
      </c>
    </row>
    <row r="260" ht="19" customHeight="1" spans="2:64">
      <c r="B260" s="59"/>
      <c r="C260" s="60">
        <v>478</v>
      </c>
      <c r="D260" s="61">
        <v>50</v>
      </c>
      <c r="E260" s="62"/>
      <c r="F260" s="61"/>
      <c r="G260" s="61">
        <v>1353</v>
      </c>
      <c r="H260" s="75" t="s">
        <v>105</v>
      </c>
      <c r="I260" s="76"/>
      <c r="J260" s="77"/>
      <c r="K260" s="78" t="s">
        <v>30</v>
      </c>
      <c r="L260" s="79">
        <f>L257/4</f>
        <v>157.4625</v>
      </c>
      <c r="O260" s="69"/>
      <c r="P260" s="70">
        <v>163</v>
      </c>
      <c r="Q260" s="71">
        <v>20</v>
      </c>
      <c r="R260" s="70"/>
      <c r="S260" s="70"/>
      <c r="T260" s="70"/>
      <c r="U260" s="72"/>
      <c r="V260" s="73"/>
      <c r="W260" s="58"/>
      <c r="X260" s="58"/>
      <c r="Y260" s="58"/>
      <c r="AB260" s="69"/>
      <c r="AC260" s="70"/>
      <c r="AD260" s="71"/>
      <c r="AE260" s="70">
        <v>235</v>
      </c>
      <c r="AF260" s="70">
        <v>23.5</v>
      </c>
      <c r="AG260" s="70"/>
      <c r="AH260" s="72"/>
      <c r="AI260" s="73"/>
      <c r="AJ260" s="89" t="s">
        <v>44</v>
      </c>
      <c r="AK260" s="90" t="s">
        <v>45</v>
      </c>
      <c r="AL260" s="90" t="s">
        <v>46</v>
      </c>
      <c r="AO260" s="59"/>
      <c r="AP260" s="60"/>
      <c r="AQ260" s="61"/>
      <c r="AR260" s="62"/>
      <c r="AS260" s="61"/>
      <c r="AT260" s="61"/>
      <c r="AU260" s="75"/>
      <c r="AV260" s="84"/>
      <c r="AW260" s="77"/>
      <c r="AX260" s="77"/>
      <c r="AY260" s="87"/>
    </row>
    <row r="261" spans="2:64">
      <c r="B261" s="69"/>
      <c r="C261" s="70">
        <v>317</v>
      </c>
      <c r="D261" s="71"/>
      <c r="E261" s="70"/>
      <c r="F261" s="70"/>
      <c r="G261" s="70">
        <v>30</v>
      </c>
      <c r="H261" s="72" t="s">
        <v>74</v>
      </c>
      <c r="I261" s="73"/>
      <c r="J261" s="77"/>
      <c r="K261" s="80" t="s">
        <v>34</v>
      </c>
      <c r="L261" s="81">
        <f>L257/6</f>
        <v>104.975</v>
      </c>
      <c r="O261" s="59"/>
      <c r="P261" s="60"/>
      <c r="Q261" s="61"/>
      <c r="R261" s="62">
        <v>611</v>
      </c>
      <c r="S261" s="61">
        <v>50</v>
      </c>
      <c r="T261" s="61"/>
      <c r="U261" s="75"/>
      <c r="V261" s="76"/>
      <c r="W261" s="58"/>
      <c r="X261" s="58"/>
      <c r="Y261" s="58"/>
      <c r="AB261" s="59"/>
      <c r="AC261" s="60">
        <v>395</v>
      </c>
      <c r="AD261" s="61">
        <v>50</v>
      </c>
      <c r="AE261" s="62"/>
      <c r="AF261" s="61"/>
      <c r="AG261" s="61"/>
      <c r="AH261" s="75"/>
      <c r="AI261" s="76"/>
      <c r="AJ261" s="92" t="s">
        <v>47</v>
      </c>
      <c r="AK261" s="93" t="s">
        <v>48</v>
      </c>
      <c r="AL261" s="93" t="s">
        <v>65</v>
      </c>
      <c r="AO261" s="69"/>
      <c r="AP261" s="70"/>
      <c r="AQ261" s="85"/>
      <c r="AR261" s="70"/>
      <c r="AS261" s="70"/>
      <c r="AT261" s="70"/>
      <c r="AU261" s="72"/>
      <c r="AV261" s="73"/>
      <c r="AW261" s="58"/>
      <c r="AX261" s="58"/>
      <c r="AY261" s="58"/>
      <c r="BB261" s="33" t="s">
        <v>172</v>
      </c>
      <c r="BC261" s="34"/>
      <c r="BD261" s="34"/>
      <c r="BE261" s="34"/>
      <c r="BF261" s="34"/>
      <c r="BG261" s="34"/>
      <c r="BH261" s="34"/>
      <c r="BI261" s="34"/>
      <c r="BJ261" s="34"/>
      <c r="BK261" s="34"/>
      <c r="BL261" s="35"/>
    </row>
    <row r="262" ht="15.75" spans="2:64">
      <c r="B262" s="59"/>
      <c r="C262" s="60">
        <v>488</v>
      </c>
      <c r="D262" s="61">
        <v>52</v>
      </c>
      <c r="E262" s="62"/>
      <c r="F262" s="61"/>
      <c r="G262" s="61"/>
      <c r="H262" s="75"/>
      <c r="I262" s="76"/>
      <c r="J262" s="77"/>
      <c r="K262" s="82" t="s">
        <v>37</v>
      </c>
      <c r="L262" s="83">
        <f>L257/8</f>
        <v>78.73125</v>
      </c>
      <c r="O262" s="69"/>
      <c r="P262" s="71"/>
      <c r="Q262" s="71"/>
      <c r="R262" s="70"/>
      <c r="S262" s="70"/>
      <c r="T262" s="70"/>
      <c r="U262" s="72"/>
      <c r="V262" s="73"/>
      <c r="W262" s="58"/>
      <c r="X262" s="58"/>
      <c r="Y262" s="58"/>
      <c r="AB262" s="69"/>
      <c r="AC262" s="70"/>
      <c r="AD262" s="71"/>
      <c r="AE262" s="70">
        <v>561</v>
      </c>
      <c r="AF262" s="70">
        <v>56.1</v>
      </c>
      <c r="AG262" s="70"/>
      <c r="AH262" s="72"/>
      <c r="AI262" s="73"/>
      <c r="AJ262" s="94" t="s">
        <v>52</v>
      </c>
      <c r="AK262" s="95" t="s">
        <v>27</v>
      </c>
      <c r="AL262" s="95" t="s">
        <v>43</v>
      </c>
      <c r="AO262" s="59"/>
      <c r="AP262" s="60"/>
      <c r="AQ262" s="61"/>
      <c r="AR262" s="62"/>
      <c r="AS262" s="61"/>
      <c r="AT262" s="61"/>
      <c r="AU262" s="75"/>
      <c r="AV262" s="84"/>
      <c r="AW262" s="58"/>
      <c r="AX262" s="58"/>
      <c r="AY262" s="58"/>
      <c r="BB262" s="36"/>
      <c r="BC262" s="37"/>
      <c r="BD262" s="37"/>
      <c r="BE262" s="37"/>
      <c r="BF262" s="37"/>
      <c r="BG262" s="37"/>
      <c r="BH262" s="37"/>
      <c r="BI262" s="37"/>
      <c r="BJ262" s="37"/>
      <c r="BK262" s="37"/>
      <c r="BL262" s="38"/>
    </row>
    <row r="263" ht="15.75" spans="2:64">
      <c r="B263" s="69"/>
      <c r="C263" s="70">
        <v>336</v>
      </c>
      <c r="D263" s="85">
        <v>20</v>
      </c>
      <c r="E263" s="70"/>
      <c r="F263" s="70"/>
      <c r="G263" s="70"/>
      <c r="H263" s="72"/>
      <c r="I263" s="73"/>
      <c r="J263" s="86"/>
      <c r="K263" s="77"/>
      <c r="L263" s="87"/>
      <c r="O263" s="59"/>
      <c r="P263" s="61"/>
      <c r="Q263" s="61"/>
      <c r="R263" s="62"/>
      <c r="S263" s="61"/>
      <c r="T263" s="61"/>
      <c r="U263" s="75"/>
      <c r="V263" s="76"/>
      <c r="W263" s="58"/>
      <c r="X263" s="58"/>
      <c r="Y263" s="58"/>
      <c r="AB263" s="59"/>
      <c r="AC263" s="60"/>
      <c r="AD263" s="61"/>
      <c r="AE263" s="62">
        <v>436</v>
      </c>
      <c r="AF263" s="61">
        <v>43.6</v>
      </c>
      <c r="AG263" s="61"/>
      <c r="AH263" s="75"/>
      <c r="AI263" s="76"/>
      <c r="AJ263" s="77"/>
      <c r="AK263" s="77"/>
      <c r="AL263" s="87"/>
      <c r="AO263" s="96"/>
      <c r="AP263" s="97"/>
      <c r="AQ263" s="98"/>
      <c r="AR263" s="99"/>
      <c r="AS263" s="98"/>
      <c r="AT263" s="98"/>
      <c r="AU263" s="72"/>
      <c r="AV263" s="73"/>
      <c r="BB263" s="39" t="s">
        <v>12</v>
      </c>
      <c r="BC263" s="40" t="s">
        <v>13</v>
      </c>
      <c r="BD263" s="41"/>
      <c r="BE263" s="42" t="s">
        <v>14</v>
      </c>
      <c r="BF263" s="43"/>
      <c r="BG263" s="44" t="s">
        <v>15</v>
      </c>
      <c r="BH263" s="45"/>
      <c r="BI263" s="46"/>
      <c r="BJ263" s="47" t="s">
        <v>16</v>
      </c>
      <c r="BK263" s="48"/>
      <c r="BL263" s="49">
        <f>BC285+BE285</f>
        <v>4538</v>
      </c>
    </row>
    <row r="264" ht="15.75" spans="2:64">
      <c r="B264" s="59"/>
      <c r="C264" s="60"/>
      <c r="D264" s="61"/>
      <c r="E264" s="62">
        <v>497</v>
      </c>
      <c r="F264" s="61">
        <v>74.55</v>
      </c>
      <c r="G264" s="61"/>
      <c r="H264" s="75"/>
      <c r="I264" s="76"/>
      <c r="J264" s="77"/>
      <c r="K264" s="58"/>
      <c r="L264" s="58"/>
      <c r="O264" s="69"/>
      <c r="P264" s="71"/>
      <c r="Q264" s="71"/>
      <c r="R264" s="70"/>
      <c r="S264" s="70"/>
      <c r="T264" s="70"/>
      <c r="U264" s="72"/>
      <c r="V264" s="73"/>
      <c r="W264" s="58"/>
      <c r="X264" s="58"/>
      <c r="Y264" s="58"/>
      <c r="AB264" s="69"/>
      <c r="AC264" s="70"/>
      <c r="AD264" s="71"/>
      <c r="AE264" s="70"/>
      <c r="AF264" s="70"/>
      <c r="AG264" s="70"/>
      <c r="AH264" s="72"/>
      <c r="AI264" s="73"/>
      <c r="AJ264" s="58"/>
      <c r="AK264" s="58"/>
      <c r="AL264" s="58"/>
      <c r="AO264" s="59"/>
      <c r="AP264" s="60"/>
      <c r="AQ264" s="61"/>
      <c r="AR264" s="62"/>
      <c r="AS264" s="61"/>
      <c r="AT264" s="61"/>
      <c r="AU264" s="75"/>
      <c r="AV264" s="76"/>
      <c r="BB264" s="50"/>
      <c r="BC264" s="51" t="s">
        <v>17</v>
      </c>
      <c r="BD264" s="51" t="s">
        <v>18</v>
      </c>
      <c r="BE264" s="52" t="s">
        <v>17</v>
      </c>
      <c r="BF264" s="52" t="s">
        <v>18</v>
      </c>
      <c r="BG264" s="53"/>
      <c r="BH264" s="54"/>
      <c r="BI264" s="55"/>
      <c r="BJ264" s="56" t="s">
        <v>19</v>
      </c>
      <c r="BK264" s="57"/>
      <c r="BL264" s="49">
        <f>BD285+BF285</f>
        <v>323.25</v>
      </c>
    </row>
    <row r="265" ht="15.75" spans="2:64">
      <c r="B265" s="69"/>
      <c r="C265" s="70"/>
      <c r="D265" s="71"/>
      <c r="E265" s="70">
        <v>213</v>
      </c>
      <c r="F265" s="70">
        <v>25</v>
      </c>
      <c r="G265" s="70"/>
      <c r="H265" s="72"/>
      <c r="I265" s="73"/>
      <c r="J265" s="77"/>
      <c r="K265" s="58"/>
      <c r="L265" s="58"/>
      <c r="O265" s="96"/>
      <c r="P265" s="97"/>
      <c r="Q265" s="98"/>
      <c r="R265" s="99"/>
      <c r="S265" s="98"/>
      <c r="T265" s="98"/>
      <c r="U265" s="72"/>
      <c r="V265" s="73"/>
      <c r="AB265" s="69"/>
      <c r="AC265" s="70"/>
      <c r="AD265" s="71"/>
      <c r="AE265" s="70"/>
      <c r="AF265" s="70"/>
      <c r="AG265" s="70"/>
      <c r="AH265" s="72"/>
      <c r="AI265" s="73"/>
      <c r="AJ265" s="58"/>
      <c r="AK265" s="58"/>
      <c r="AL265" s="58"/>
      <c r="AO265" s="96"/>
      <c r="AP265" s="97"/>
      <c r="AQ265" s="98"/>
      <c r="AR265" s="99"/>
      <c r="AS265" s="98"/>
      <c r="AT265" s="98"/>
      <c r="AU265" s="72"/>
      <c r="AV265" s="73"/>
      <c r="BB265" s="59">
        <v>1021</v>
      </c>
      <c r="BC265" s="68">
        <v>170</v>
      </c>
      <c r="BD265" s="61">
        <v>0</v>
      </c>
      <c r="BE265" s="62"/>
      <c r="BF265" s="61"/>
      <c r="BG265" s="61">
        <v>2074</v>
      </c>
      <c r="BH265" s="63" t="s">
        <v>27</v>
      </c>
      <c r="BI265" s="64"/>
      <c r="BJ265" s="65" t="s">
        <v>21</v>
      </c>
      <c r="BK265" s="66"/>
      <c r="BL265" s="67">
        <f>BG285</f>
        <v>2151</v>
      </c>
    </row>
    <row r="266" ht="15.75" spans="2:64">
      <c r="B266" s="59"/>
      <c r="C266" s="60"/>
      <c r="D266" s="88"/>
      <c r="E266" s="62">
        <v>258</v>
      </c>
      <c r="F266" s="61">
        <v>25.8</v>
      </c>
      <c r="G266" s="61"/>
      <c r="H266" s="75"/>
      <c r="I266" s="76"/>
      <c r="J266" s="77"/>
      <c r="K266" s="58"/>
      <c r="L266" s="58"/>
      <c r="O266" s="59"/>
      <c r="P266" s="60"/>
      <c r="Q266" s="61"/>
      <c r="R266" s="62"/>
      <c r="S266" s="61"/>
      <c r="T266" s="61"/>
      <c r="U266" s="75"/>
      <c r="V266" s="76"/>
      <c r="AB266" s="59"/>
      <c r="AC266" s="60"/>
      <c r="AD266" s="61"/>
      <c r="AE266" s="62"/>
      <c r="AF266" s="61"/>
      <c r="AG266" s="61"/>
      <c r="AH266" s="75"/>
      <c r="AI266" s="76"/>
      <c r="AO266" s="59"/>
      <c r="AP266" s="60"/>
      <c r="AQ266" s="61"/>
      <c r="AR266" s="62"/>
      <c r="AS266" s="61"/>
      <c r="AT266" s="61"/>
      <c r="AU266" s="75"/>
      <c r="AV266" s="76"/>
      <c r="BB266" s="69">
        <v>800</v>
      </c>
      <c r="BC266" s="70"/>
      <c r="BD266" s="71"/>
      <c r="BE266" s="70">
        <v>460</v>
      </c>
      <c r="BF266" s="70">
        <v>23</v>
      </c>
      <c r="BG266" s="70">
        <v>30</v>
      </c>
      <c r="BH266" s="72" t="s">
        <v>29</v>
      </c>
      <c r="BI266" s="73"/>
      <c r="BJ266" s="74" t="s">
        <v>26</v>
      </c>
      <c r="BK266" s="57"/>
      <c r="BL266" s="49">
        <f>BB285+BL263+BL264-BL265-BE285-BF285</f>
        <v>2504</v>
      </c>
    </row>
    <row r="267" ht="15.75" spans="2:64">
      <c r="B267" s="69"/>
      <c r="C267" s="70">
        <v>370</v>
      </c>
      <c r="D267" s="71">
        <v>20</v>
      </c>
      <c r="E267" s="70"/>
      <c r="F267" s="70"/>
      <c r="G267" s="70"/>
      <c r="H267" s="72"/>
      <c r="I267" s="73"/>
      <c r="J267" s="89" t="s">
        <v>44</v>
      </c>
      <c r="K267" s="90" t="s">
        <v>45</v>
      </c>
      <c r="L267" s="90" t="s">
        <v>46</v>
      </c>
      <c r="O267" s="96"/>
      <c r="P267" s="97"/>
      <c r="Q267" s="98"/>
      <c r="R267" s="99"/>
      <c r="S267" s="98"/>
      <c r="T267" s="98"/>
      <c r="U267" s="100"/>
      <c r="V267" s="101"/>
      <c r="AB267" s="96"/>
      <c r="AC267" s="97"/>
      <c r="AD267" s="98"/>
      <c r="AE267" s="99"/>
      <c r="AF267" s="98"/>
      <c r="AG267" s="98"/>
      <c r="AH267" s="114"/>
      <c r="AI267" s="115"/>
      <c r="AO267" s="96"/>
      <c r="AP267" s="97"/>
      <c r="AQ267" s="98"/>
      <c r="AR267" s="99"/>
      <c r="AS267" s="98"/>
      <c r="AT267" s="98"/>
      <c r="AU267" s="72"/>
      <c r="AV267" s="73"/>
      <c r="BB267" s="59"/>
      <c r="BC267" s="60">
        <v>75</v>
      </c>
      <c r="BD267" s="61"/>
      <c r="BE267" s="62"/>
      <c r="BF267" s="61"/>
      <c r="BG267" s="61">
        <v>47</v>
      </c>
      <c r="BH267" s="75" t="s">
        <v>173</v>
      </c>
      <c r="BI267" s="76"/>
      <c r="BJ267" s="77"/>
      <c r="BK267" s="78" t="s">
        <v>30</v>
      </c>
      <c r="BL267" s="79">
        <f>BL264/4</f>
        <v>80.8125</v>
      </c>
    </row>
    <row r="268" ht="15.75" spans="2:64">
      <c r="B268" s="59"/>
      <c r="C268" s="60"/>
      <c r="D268" s="61"/>
      <c r="E268" s="62">
        <v>398</v>
      </c>
      <c r="F268" s="61">
        <v>59.7</v>
      </c>
      <c r="G268" s="61"/>
      <c r="H268" s="75"/>
      <c r="I268" s="76"/>
      <c r="J268" s="92" t="s">
        <v>47</v>
      </c>
      <c r="K268" s="93" t="s">
        <v>174</v>
      </c>
      <c r="L268" s="93" t="s">
        <v>39</v>
      </c>
      <c r="O268" s="102">
        <f t="shared" ref="O268:T268" si="48">SUM(O247:O267)</f>
        <v>5870</v>
      </c>
      <c r="P268" s="103">
        <f t="shared" si="48"/>
        <v>2252</v>
      </c>
      <c r="Q268" s="104">
        <f t="shared" si="48"/>
        <v>305</v>
      </c>
      <c r="R268" s="105">
        <f t="shared" si="48"/>
        <v>4754</v>
      </c>
      <c r="S268" s="106">
        <f t="shared" si="48"/>
        <v>519.85</v>
      </c>
      <c r="T268" s="107">
        <f t="shared" si="48"/>
        <v>3303.5</v>
      </c>
      <c r="U268" s="108" t="s">
        <v>54</v>
      </c>
      <c r="V268" s="109"/>
      <c r="AB268" s="96"/>
      <c r="AC268" s="97"/>
      <c r="AD268" s="98"/>
      <c r="AE268" s="99"/>
      <c r="AF268" s="98"/>
      <c r="AG268" s="98"/>
      <c r="AH268" s="100"/>
      <c r="AI268" s="101"/>
      <c r="AO268" s="59"/>
      <c r="AP268" s="60"/>
      <c r="AQ268" s="61"/>
      <c r="AR268" s="62"/>
      <c r="AS268" s="61"/>
      <c r="AT268" s="61"/>
      <c r="AU268" s="75"/>
      <c r="AV268" s="76"/>
      <c r="BB268" s="69"/>
      <c r="BC268" s="70">
        <v>800</v>
      </c>
      <c r="BD268" s="71">
        <v>3</v>
      </c>
      <c r="BE268" s="70"/>
      <c r="BF268" s="70"/>
      <c r="BG268" s="70"/>
      <c r="BH268" s="72"/>
      <c r="BI268" s="73"/>
      <c r="BJ268" s="77"/>
      <c r="BK268" s="80" t="s">
        <v>34</v>
      </c>
      <c r="BL268" s="81">
        <f>BL264/6</f>
        <v>53.875</v>
      </c>
    </row>
    <row r="269" ht="15.75" spans="2:64">
      <c r="B269" s="69"/>
      <c r="C269" s="70"/>
      <c r="D269" s="71"/>
      <c r="E269" s="70">
        <v>410</v>
      </c>
      <c r="F269" s="70">
        <v>20.5</v>
      </c>
      <c r="G269" s="70"/>
      <c r="H269" s="72"/>
      <c r="I269" s="73"/>
      <c r="J269" s="94" t="s">
        <v>52</v>
      </c>
      <c r="K269" s="95" t="s">
        <v>27</v>
      </c>
      <c r="L269" s="95" t="s">
        <v>175</v>
      </c>
      <c r="AB269" s="102">
        <f t="shared" ref="AB269:AG269" si="49">SUM(AB251:AB268)</f>
        <v>467</v>
      </c>
      <c r="AC269" s="103">
        <f t="shared" si="49"/>
        <v>757</v>
      </c>
      <c r="AD269" s="104">
        <f t="shared" si="49"/>
        <v>129</v>
      </c>
      <c r="AE269" s="105">
        <f t="shared" si="49"/>
        <v>3181</v>
      </c>
      <c r="AF269" s="106">
        <f t="shared" si="49"/>
        <v>311.4</v>
      </c>
      <c r="AG269" s="107">
        <f t="shared" si="49"/>
        <v>371</v>
      </c>
      <c r="AH269" s="108" t="s">
        <v>54</v>
      </c>
      <c r="AI269" s="109"/>
      <c r="AO269" s="96"/>
      <c r="AP269" s="97"/>
      <c r="AQ269" s="98"/>
      <c r="AR269" s="99"/>
      <c r="AS269" s="98"/>
      <c r="AT269" s="98"/>
      <c r="AU269" s="72"/>
      <c r="AV269" s="73"/>
      <c r="BB269" s="59"/>
      <c r="BC269" s="60">
        <v>170</v>
      </c>
      <c r="BD269" s="61">
        <v>10</v>
      </c>
      <c r="BE269" s="62"/>
      <c r="BF269" s="61"/>
      <c r="BG269" s="61"/>
      <c r="BH269" s="75"/>
      <c r="BI269" s="84"/>
      <c r="BJ269" s="77"/>
      <c r="BK269" s="82" t="s">
        <v>37</v>
      </c>
      <c r="BL269" s="83">
        <f>BL264/8</f>
        <v>40.40625</v>
      </c>
    </row>
    <row r="270" ht="15.75" spans="2:64">
      <c r="B270" s="59"/>
      <c r="C270" s="60">
        <v>505</v>
      </c>
      <c r="D270" s="61">
        <v>50</v>
      </c>
      <c r="E270" s="62"/>
      <c r="F270" s="61"/>
      <c r="G270" s="61"/>
      <c r="H270" s="75"/>
      <c r="I270" s="76"/>
      <c r="J270" s="77"/>
      <c r="K270" s="77"/>
      <c r="L270" s="87"/>
      <c r="AO270" s="102">
        <f t="shared" ref="AO270:AT270" si="50">SUM(AO248:AO269)</f>
        <v>4553</v>
      </c>
      <c r="AP270" s="103">
        <f t="shared" si="50"/>
        <v>1358</v>
      </c>
      <c r="AQ270" s="104">
        <f t="shared" si="50"/>
        <v>99</v>
      </c>
      <c r="AR270" s="105">
        <f t="shared" si="50"/>
        <v>2434</v>
      </c>
      <c r="AS270" s="106">
        <f t="shared" si="50"/>
        <v>51.6</v>
      </c>
      <c r="AT270" s="107">
        <f t="shared" si="50"/>
        <v>5078</v>
      </c>
      <c r="AU270" s="108" t="s">
        <v>54</v>
      </c>
      <c r="AV270" s="109"/>
      <c r="BB270" s="69"/>
      <c r="BC270" s="70"/>
      <c r="BD270" s="85"/>
      <c r="BE270" s="70">
        <v>754</v>
      </c>
      <c r="BF270" s="70">
        <v>75.4</v>
      </c>
      <c r="BG270" s="70"/>
      <c r="BH270" s="72"/>
      <c r="BI270" s="73"/>
      <c r="BJ270" s="86"/>
      <c r="BK270" s="77"/>
      <c r="BL270" s="87"/>
    </row>
    <row r="271" spans="2:64">
      <c r="B271" s="69"/>
      <c r="C271" s="70"/>
      <c r="D271" s="71"/>
      <c r="E271" s="70">
        <v>433</v>
      </c>
      <c r="F271" s="70">
        <v>43.3</v>
      </c>
      <c r="G271" s="70"/>
      <c r="H271" s="72"/>
      <c r="I271" s="73"/>
      <c r="J271" s="58"/>
      <c r="K271" s="58"/>
      <c r="L271" s="58"/>
      <c r="O271" s="33" t="s">
        <v>176</v>
      </c>
      <c r="P271" s="34"/>
      <c r="Q271" s="34"/>
      <c r="R271" s="34"/>
      <c r="S271" s="34"/>
      <c r="T271" s="34"/>
      <c r="U271" s="34"/>
      <c r="V271" s="34"/>
      <c r="W271" s="34"/>
      <c r="X271" s="34"/>
      <c r="Y271" s="35"/>
      <c r="BB271" s="59"/>
      <c r="BC271" s="60">
        <v>352</v>
      </c>
      <c r="BD271" s="61">
        <v>38</v>
      </c>
      <c r="BE271" s="62"/>
      <c r="BF271" s="61"/>
      <c r="BG271" s="61"/>
      <c r="BH271" s="75"/>
      <c r="BI271" s="84"/>
      <c r="BJ271" s="77"/>
      <c r="BK271" s="58"/>
      <c r="BL271" s="58"/>
    </row>
    <row r="272" ht="15.75" spans="2:64">
      <c r="B272" s="59"/>
      <c r="C272" s="60"/>
      <c r="D272" s="61">
        <v>20</v>
      </c>
      <c r="E272" s="62">
        <v>323</v>
      </c>
      <c r="F272" s="61">
        <v>20</v>
      </c>
      <c r="G272" s="61"/>
      <c r="H272" s="75"/>
      <c r="I272" s="76"/>
      <c r="J272" s="58"/>
      <c r="K272" s="58"/>
      <c r="L272" s="58"/>
      <c r="O272" s="36"/>
      <c r="P272" s="37"/>
      <c r="Q272" s="37"/>
      <c r="R272" s="37"/>
      <c r="S272" s="37"/>
      <c r="T272" s="37"/>
      <c r="U272" s="37"/>
      <c r="V272" s="37"/>
      <c r="W272" s="37"/>
      <c r="X272" s="37"/>
      <c r="Y272" s="38"/>
      <c r="BB272" s="69"/>
      <c r="BC272" s="70">
        <v>533</v>
      </c>
      <c r="BD272" s="85">
        <v>40</v>
      </c>
      <c r="BE272" s="70"/>
      <c r="BF272" s="70"/>
      <c r="BG272" s="70"/>
      <c r="BH272" s="72"/>
      <c r="BI272" s="73"/>
      <c r="BJ272" s="77"/>
      <c r="BK272" s="58"/>
      <c r="BL272" s="58"/>
    </row>
    <row r="273" ht="15.75" spans="2:64">
      <c r="B273" s="69"/>
      <c r="C273" s="71"/>
      <c r="D273" s="71"/>
      <c r="E273" s="70"/>
      <c r="F273" s="70"/>
      <c r="G273" s="70"/>
      <c r="H273" s="72"/>
      <c r="I273" s="73"/>
      <c r="J273" s="58"/>
      <c r="K273" s="58"/>
      <c r="L273" s="58"/>
      <c r="O273" s="39" t="s">
        <v>12</v>
      </c>
      <c r="P273" s="40" t="s">
        <v>13</v>
      </c>
      <c r="Q273" s="41"/>
      <c r="R273" s="42" t="s">
        <v>14</v>
      </c>
      <c r="S273" s="43"/>
      <c r="T273" s="44" t="s">
        <v>15</v>
      </c>
      <c r="U273" s="45"/>
      <c r="V273" s="46"/>
      <c r="W273" s="47" t="s">
        <v>16</v>
      </c>
      <c r="X273" s="48"/>
      <c r="Y273" s="49">
        <f>P297+R297</f>
        <v>6616</v>
      </c>
      <c r="AB273" s="33" t="s">
        <v>177</v>
      </c>
      <c r="AC273" s="34"/>
      <c r="AD273" s="34"/>
      <c r="AE273" s="34"/>
      <c r="AF273" s="34"/>
      <c r="AG273" s="34"/>
      <c r="AH273" s="34"/>
      <c r="AI273" s="34"/>
      <c r="AJ273" s="34"/>
      <c r="AK273" s="34"/>
      <c r="AL273" s="35"/>
      <c r="AO273" s="33" t="s">
        <v>178</v>
      </c>
      <c r="AP273" s="34"/>
      <c r="AQ273" s="34"/>
      <c r="AR273" s="34"/>
      <c r="AS273" s="34"/>
      <c r="AT273" s="34"/>
      <c r="AU273" s="34"/>
      <c r="AV273" s="34"/>
      <c r="AW273" s="34"/>
      <c r="AX273" s="34"/>
      <c r="AY273" s="35"/>
      <c r="BB273" s="59"/>
      <c r="BC273" s="60"/>
      <c r="BD273" s="61"/>
      <c r="BE273" s="62">
        <v>500</v>
      </c>
      <c r="BF273" s="61">
        <v>50</v>
      </c>
      <c r="BG273" s="61"/>
      <c r="BH273" s="75"/>
      <c r="BI273" s="84"/>
      <c r="BJ273" s="77"/>
      <c r="BK273" s="58"/>
      <c r="BL273" s="58"/>
    </row>
    <row r="274" ht="15.75" spans="2:64">
      <c r="B274" s="59"/>
      <c r="C274" s="61"/>
      <c r="D274" s="61"/>
      <c r="E274" s="62"/>
      <c r="F274" s="61"/>
      <c r="G274" s="61"/>
      <c r="H274" s="75"/>
      <c r="I274" s="76"/>
      <c r="J274" s="58"/>
      <c r="K274" s="58"/>
      <c r="L274" s="58"/>
      <c r="O274" s="50"/>
      <c r="P274" s="51" t="s">
        <v>17</v>
      </c>
      <c r="Q274" s="51" t="s">
        <v>18</v>
      </c>
      <c r="R274" s="52" t="s">
        <v>17</v>
      </c>
      <c r="S274" s="52" t="s">
        <v>18</v>
      </c>
      <c r="T274" s="53"/>
      <c r="U274" s="54"/>
      <c r="V274" s="55"/>
      <c r="W274" s="56" t="s">
        <v>19</v>
      </c>
      <c r="X274" s="57"/>
      <c r="Y274" s="49">
        <f>Q297+S297</f>
        <v>550.05</v>
      </c>
      <c r="AB274" s="36"/>
      <c r="AC274" s="37"/>
      <c r="AD274" s="37"/>
      <c r="AE274" s="37"/>
      <c r="AF274" s="37"/>
      <c r="AG274" s="37"/>
      <c r="AH274" s="37"/>
      <c r="AI274" s="37"/>
      <c r="AJ274" s="37"/>
      <c r="AK274" s="37"/>
      <c r="AL274" s="38"/>
      <c r="AO274" s="36"/>
      <c r="AP274" s="37"/>
      <c r="AQ274" s="37"/>
      <c r="AR274" s="37"/>
      <c r="AS274" s="37"/>
      <c r="AT274" s="37"/>
      <c r="AU274" s="37"/>
      <c r="AV274" s="37"/>
      <c r="AW274" s="37"/>
      <c r="AX274" s="37"/>
      <c r="AY274" s="38"/>
      <c r="BB274" s="69"/>
      <c r="BC274" s="70">
        <v>230</v>
      </c>
      <c r="BD274" s="85">
        <v>23</v>
      </c>
      <c r="BE274" s="70">
        <v>157</v>
      </c>
      <c r="BF274" s="70">
        <v>7.85</v>
      </c>
      <c r="BG274" s="70"/>
      <c r="BH274" s="72"/>
      <c r="BI274" s="73"/>
      <c r="BJ274" s="89" t="s">
        <v>44</v>
      </c>
      <c r="BK274" s="90" t="s">
        <v>45</v>
      </c>
      <c r="BL274" s="90" t="s">
        <v>46</v>
      </c>
    </row>
    <row r="275" ht="15.75" spans="2:64">
      <c r="B275" s="69"/>
      <c r="C275" s="70"/>
      <c r="D275" s="71"/>
      <c r="E275" s="70"/>
      <c r="F275" s="70"/>
      <c r="G275" s="70"/>
      <c r="H275" s="72"/>
      <c r="I275" s="73"/>
      <c r="J275" s="58"/>
      <c r="K275" s="58"/>
      <c r="L275" s="58"/>
      <c r="O275" s="59">
        <v>5123</v>
      </c>
      <c r="P275" s="60">
        <v>610</v>
      </c>
      <c r="Q275" s="61">
        <v>40</v>
      </c>
      <c r="R275" s="62"/>
      <c r="S275" s="61"/>
      <c r="T275" s="61">
        <v>38</v>
      </c>
      <c r="U275" s="63" t="s">
        <v>179</v>
      </c>
      <c r="V275" s="64"/>
      <c r="W275" s="65" t="s">
        <v>21</v>
      </c>
      <c r="X275" s="66"/>
      <c r="Y275" s="67">
        <f>T297</f>
        <v>7356</v>
      </c>
      <c r="AB275" s="39" t="s">
        <v>12</v>
      </c>
      <c r="AC275" s="40" t="s">
        <v>13</v>
      </c>
      <c r="AD275" s="41"/>
      <c r="AE275" s="42" t="s">
        <v>14</v>
      </c>
      <c r="AF275" s="43"/>
      <c r="AG275" s="44" t="s">
        <v>15</v>
      </c>
      <c r="AH275" s="45"/>
      <c r="AI275" s="46"/>
      <c r="AJ275" s="47" t="s">
        <v>16</v>
      </c>
      <c r="AK275" s="48"/>
      <c r="AL275" s="49">
        <f>AC296+AE296</f>
        <v>3995</v>
      </c>
      <c r="AO275" s="39" t="s">
        <v>12</v>
      </c>
      <c r="AP275" s="40" t="s">
        <v>13</v>
      </c>
      <c r="AQ275" s="41"/>
      <c r="AR275" s="42" t="s">
        <v>14</v>
      </c>
      <c r="AS275" s="43"/>
      <c r="AT275" s="44" t="s">
        <v>15</v>
      </c>
      <c r="AU275" s="45"/>
      <c r="AV275" s="46"/>
      <c r="AW275" s="47" t="s">
        <v>16</v>
      </c>
      <c r="AX275" s="48"/>
      <c r="AY275" s="49">
        <f>AP299+AR299</f>
        <v>5648</v>
      </c>
      <c r="BB275" s="59"/>
      <c r="BC275" s="60">
        <v>337</v>
      </c>
      <c r="BD275" s="61">
        <v>53</v>
      </c>
      <c r="BE275" s="62"/>
      <c r="BF275" s="61"/>
      <c r="BG275" s="61"/>
      <c r="BH275" s="75"/>
      <c r="BI275" s="84"/>
      <c r="BJ275" s="92" t="s">
        <v>47</v>
      </c>
      <c r="BK275" s="93" t="s">
        <v>27</v>
      </c>
      <c r="BL275" s="93" t="s">
        <v>43</v>
      </c>
    </row>
    <row r="276" ht="15.75" spans="2:64">
      <c r="B276" s="59"/>
      <c r="C276" s="60"/>
      <c r="D276" s="61"/>
      <c r="E276" s="62"/>
      <c r="F276" s="61"/>
      <c r="G276" s="61"/>
      <c r="H276" s="75"/>
      <c r="I276" s="76"/>
      <c r="O276" s="69">
        <v>4.5</v>
      </c>
      <c r="P276" s="70">
        <v>258</v>
      </c>
      <c r="Q276" s="71">
        <v>42</v>
      </c>
      <c r="R276" s="70"/>
      <c r="S276" s="70"/>
      <c r="T276" s="70">
        <v>3994</v>
      </c>
      <c r="U276" s="72" t="s">
        <v>48</v>
      </c>
      <c r="V276" s="73"/>
      <c r="W276" s="74" t="s">
        <v>26</v>
      </c>
      <c r="X276" s="57"/>
      <c r="Y276" s="49">
        <f>O297+Y273+Y274-Y275-R297-S297</f>
        <v>1406.5</v>
      </c>
      <c r="AB276" s="50"/>
      <c r="AC276" s="51" t="s">
        <v>17</v>
      </c>
      <c r="AD276" s="51" t="s">
        <v>18</v>
      </c>
      <c r="AE276" s="52" t="s">
        <v>17</v>
      </c>
      <c r="AF276" s="52" t="s">
        <v>18</v>
      </c>
      <c r="AG276" s="53"/>
      <c r="AH276" s="54"/>
      <c r="AI276" s="55"/>
      <c r="AJ276" s="56" t="s">
        <v>19</v>
      </c>
      <c r="AK276" s="57"/>
      <c r="AL276" s="49">
        <f>AD296+AF296</f>
        <v>379.8</v>
      </c>
      <c r="AO276" s="50"/>
      <c r="AP276" s="51" t="s">
        <v>17</v>
      </c>
      <c r="AQ276" s="51" t="s">
        <v>18</v>
      </c>
      <c r="AR276" s="52" t="s">
        <v>17</v>
      </c>
      <c r="AS276" s="52" t="s">
        <v>18</v>
      </c>
      <c r="AT276" s="53"/>
      <c r="AU276" s="54"/>
      <c r="AV276" s="55"/>
      <c r="AW276" s="56" t="s">
        <v>19</v>
      </c>
      <c r="AX276" s="57"/>
      <c r="AY276" s="49">
        <f>AQ299+AS299</f>
        <v>287.55</v>
      </c>
      <c r="BB276" s="69"/>
      <c r="BC276" s="70"/>
      <c r="BD276" s="85"/>
      <c r="BE276" s="70"/>
      <c r="BF276" s="70"/>
      <c r="BG276" s="70"/>
      <c r="BH276" s="72"/>
      <c r="BI276" s="73"/>
      <c r="BJ276" s="94" t="s">
        <v>52</v>
      </c>
      <c r="BK276" s="95" t="s">
        <v>48</v>
      </c>
      <c r="BL276" s="95" t="s">
        <v>65</v>
      </c>
    </row>
    <row r="277" ht="15.75" spans="2:64">
      <c r="B277" s="69"/>
      <c r="C277" s="112"/>
      <c r="D277" s="71"/>
      <c r="E277" s="58"/>
      <c r="F277" s="70"/>
      <c r="G277" s="70"/>
      <c r="H277" s="72"/>
      <c r="I277" s="73"/>
      <c r="O277" s="59"/>
      <c r="P277" s="60"/>
      <c r="Q277" s="61"/>
      <c r="R277" s="62">
        <v>317</v>
      </c>
      <c r="S277" s="61">
        <v>47.55</v>
      </c>
      <c r="T277" s="61">
        <v>3202</v>
      </c>
      <c r="U277" s="75" t="s">
        <v>27</v>
      </c>
      <c r="V277" s="76"/>
      <c r="W277" s="77"/>
      <c r="X277" s="78" t="s">
        <v>30</v>
      </c>
      <c r="Y277" s="79">
        <f>Y274/4</f>
        <v>137.5125</v>
      </c>
      <c r="AB277" s="59">
        <v>424</v>
      </c>
      <c r="AC277" s="60">
        <v>8</v>
      </c>
      <c r="AD277" s="61"/>
      <c r="AE277" s="62"/>
      <c r="AF277" s="61"/>
      <c r="AG277" s="61">
        <v>31</v>
      </c>
      <c r="AH277" s="63" t="s">
        <v>32</v>
      </c>
      <c r="AI277" s="64"/>
      <c r="AJ277" s="65" t="s">
        <v>21</v>
      </c>
      <c r="AK277" s="66"/>
      <c r="AL277" s="67">
        <f>AG296</f>
        <v>61</v>
      </c>
      <c r="AO277" s="59">
        <v>932</v>
      </c>
      <c r="AP277" s="68"/>
      <c r="AQ277" s="61"/>
      <c r="AR277" s="62">
        <v>373</v>
      </c>
      <c r="AS277" s="61">
        <v>18.65</v>
      </c>
      <c r="AT277" s="61">
        <v>50</v>
      </c>
      <c r="AU277" s="63" t="s">
        <v>116</v>
      </c>
      <c r="AV277" s="64"/>
      <c r="AW277" s="65" t="s">
        <v>21</v>
      </c>
      <c r="AX277" s="66"/>
      <c r="AY277" s="67">
        <f>AT299</f>
        <v>1077</v>
      </c>
      <c r="BB277" s="59"/>
      <c r="BC277" s="60"/>
      <c r="BD277" s="61"/>
      <c r="BE277" s="62"/>
      <c r="BF277" s="61"/>
      <c r="BG277" s="61"/>
      <c r="BH277" s="75"/>
      <c r="BI277" s="84"/>
      <c r="BJ277" s="77"/>
      <c r="BK277" s="77"/>
      <c r="BL277" s="87"/>
    </row>
    <row r="278" ht="15.75" spans="2:64">
      <c r="B278" s="59"/>
      <c r="C278" s="60"/>
      <c r="D278" s="61"/>
      <c r="E278" s="62"/>
      <c r="F278" s="61"/>
      <c r="G278" s="61"/>
      <c r="H278" s="75"/>
      <c r="I278" s="76"/>
      <c r="O278" s="69"/>
      <c r="P278" s="70">
        <v>398</v>
      </c>
      <c r="Q278" s="71">
        <v>2</v>
      </c>
      <c r="R278" s="70"/>
      <c r="S278" s="70"/>
      <c r="T278" s="70">
        <v>122</v>
      </c>
      <c r="U278" s="72" t="s">
        <v>39</v>
      </c>
      <c r="V278" s="73"/>
      <c r="W278" s="77"/>
      <c r="X278" s="80" t="s">
        <v>34</v>
      </c>
      <c r="Y278" s="81">
        <f>Y274/6</f>
        <v>91.675</v>
      </c>
      <c r="AB278" s="69"/>
      <c r="AC278" s="70">
        <v>319</v>
      </c>
      <c r="AD278" s="71">
        <v>30</v>
      </c>
      <c r="AE278" s="70"/>
      <c r="AF278" s="70"/>
      <c r="AG278" s="70">
        <v>30</v>
      </c>
      <c r="AH278" s="72" t="s">
        <v>29</v>
      </c>
      <c r="AI278" s="73"/>
      <c r="AJ278" s="74" t="s">
        <v>26</v>
      </c>
      <c r="AK278" s="57"/>
      <c r="AL278" s="49">
        <f>AB296+AL275+AL276-AL277-AE296-AF296</f>
        <v>1595</v>
      </c>
      <c r="AO278" s="69"/>
      <c r="AP278" s="70">
        <v>972</v>
      </c>
      <c r="AQ278" s="71">
        <v>48</v>
      </c>
      <c r="AR278" s="70"/>
      <c r="AS278" s="70"/>
      <c r="AT278" s="70">
        <v>25</v>
      </c>
      <c r="AU278" s="72" t="s">
        <v>29</v>
      </c>
      <c r="AV278" s="73"/>
      <c r="AW278" s="74" t="s">
        <v>26</v>
      </c>
      <c r="AX278" s="57"/>
      <c r="AY278" s="49">
        <f>AO299+AY275+AY276-AY277-AR299-AS299</f>
        <v>3981</v>
      </c>
      <c r="BB278" s="69"/>
      <c r="BC278" s="70"/>
      <c r="BD278" s="85"/>
      <c r="BE278" s="70"/>
      <c r="BF278" s="70"/>
      <c r="BG278" s="70"/>
      <c r="BH278" s="72"/>
      <c r="BI278" s="73"/>
      <c r="BJ278" s="58"/>
      <c r="BK278" s="58"/>
      <c r="BL278" s="58"/>
    </row>
    <row r="279" spans="2:64">
      <c r="B279" s="96"/>
      <c r="C279" s="97"/>
      <c r="D279" s="98"/>
      <c r="E279" s="99"/>
      <c r="F279" s="98"/>
      <c r="G279" s="98"/>
      <c r="H279" s="72"/>
      <c r="I279" s="73"/>
      <c r="O279" s="59"/>
      <c r="P279" s="60">
        <v>395</v>
      </c>
      <c r="Q279" s="61">
        <v>40</v>
      </c>
      <c r="R279" s="62"/>
      <c r="S279" s="61"/>
      <c r="T279" s="61"/>
      <c r="U279" s="75"/>
      <c r="V279" s="76"/>
      <c r="W279" s="77"/>
      <c r="X279" s="82" t="s">
        <v>37</v>
      </c>
      <c r="Y279" s="83">
        <f>Y274/8</f>
        <v>68.75625</v>
      </c>
      <c r="AB279" s="59"/>
      <c r="AC279" s="60"/>
      <c r="AD279" s="61"/>
      <c r="AE279" s="62">
        <v>515</v>
      </c>
      <c r="AF279" s="61">
        <v>51.5</v>
      </c>
      <c r="AG279" s="61"/>
      <c r="AH279" s="75"/>
      <c r="AI279" s="76"/>
      <c r="AJ279" s="77"/>
      <c r="AK279" s="78" t="s">
        <v>30</v>
      </c>
      <c r="AL279" s="79">
        <f>AL276/4</f>
        <v>94.95</v>
      </c>
      <c r="AO279" s="59"/>
      <c r="AP279" s="60">
        <v>80</v>
      </c>
      <c r="AQ279" s="61"/>
      <c r="AR279" s="62"/>
      <c r="AS279" s="61"/>
      <c r="AT279" s="61">
        <v>34</v>
      </c>
      <c r="AU279" s="75" t="s">
        <v>164</v>
      </c>
      <c r="AV279" s="76"/>
      <c r="AW279" s="77"/>
      <c r="AX279" s="78" t="s">
        <v>30</v>
      </c>
      <c r="AY279" s="79">
        <f>AY276/4</f>
        <v>71.8875</v>
      </c>
      <c r="BB279" s="59"/>
      <c r="BC279" s="60"/>
      <c r="BD279" s="61"/>
      <c r="BE279" s="62"/>
      <c r="BF279" s="61"/>
      <c r="BG279" s="61"/>
      <c r="BH279" s="75"/>
      <c r="BI279" s="76"/>
    </row>
    <row r="280" spans="2:64">
      <c r="B280" s="59"/>
      <c r="C280" s="60"/>
      <c r="D280" s="61"/>
      <c r="E280" s="62"/>
      <c r="F280" s="61"/>
      <c r="G280" s="61"/>
      <c r="H280" s="75"/>
      <c r="I280" s="76"/>
      <c r="O280" s="69"/>
      <c r="P280" s="70">
        <v>137</v>
      </c>
      <c r="Q280" s="85">
        <v>0</v>
      </c>
      <c r="R280" s="70"/>
      <c r="S280" s="70"/>
      <c r="T280" s="70"/>
      <c r="U280" s="72"/>
      <c r="V280" s="73"/>
      <c r="W280" s="86"/>
      <c r="X280" s="77"/>
      <c r="Y280" s="87"/>
      <c r="AB280" s="69"/>
      <c r="AC280" s="70">
        <v>205</v>
      </c>
      <c r="AD280" s="71">
        <v>45</v>
      </c>
      <c r="AE280" s="70"/>
      <c r="AF280" s="70"/>
      <c r="AG280" s="70"/>
      <c r="AH280" s="72"/>
      <c r="AI280" s="73"/>
      <c r="AJ280" s="77"/>
      <c r="AK280" s="80" t="s">
        <v>34</v>
      </c>
      <c r="AL280" s="81">
        <f>AL276/6</f>
        <v>63.3</v>
      </c>
      <c r="AO280" s="69"/>
      <c r="AP280" s="70">
        <v>65</v>
      </c>
      <c r="AQ280" s="71"/>
      <c r="AR280" s="70"/>
      <c r="AS280" s="70"/>
      <c r="AT280" s="70">
        <v>40</v>
      </c>
      <c r="AU280" s="72" t="s">
        <v>180</v>
      </c>
      <c r="AV280" s="73"/>
      <c r="AW280" s="77"/>
      <c r="AX280" s="80" t="s">
        <v>34</v>
      </c>
      <c r="AY280" s="81">
        <f>AY276/6</f>
        <v>47.925</v>
      </c>
      <c r="BB280" s="96"/>
      <c r="BC280" s="97"/>
      <c r="BD280" s="98"/>
      <c r="BE280" s="99"/>
      <c r="BF280" s="98"/>
      <c r="BG280" s="98"/>
      <c r="BH280" s="72"/>
      <c r="BI280" s="73"/>
    </row>
    <row r="281" ht="15.75" spans="2:64">
      <c r="B281" s="69"/>
      <c r="C281" s="112"/>
      <c r="D281" s="71"/>
      <c r="E281" s="58"/>
      <c r="F281" s="70"/>
      <c r="G281" s="70"/>
      <c r="H281" s="72"/>
      <c r="I281" s="73"/>
      <c r="O281" s="59"/>
      <c r="P281" s="60"/>
      <c r="Q281" s="61">
        <v>50</v>
      </c>
      <c r="R281" s="62">
        <v>388</v>
      </c>
      <c r="S281" s="61"/>
      <c r="T281" s="61"/>
      <c r="U281" s="75"/>
      <c r="V281" s="76"/>
      <c r="W281" s="77"/>
      <c r="X281" s="58"/>
      <c r="Y281" s="58"/>
      <c r="AB281" s="59"/>
      <c r="AC281" s="60"/>
      <c r="AD281" s="61"/>
      <c r="AE281" s="62">
        <v>535</v>
      </c>
      <c r="AF281" s="61"/>
      <c r="AG281" s="61"/>
      <c r="AH281" s="75"/>
      <c r="AI281" s="76"/>
      <c r="AJ281" s="77"/>
      <c r="AK281" s="82" t="s">
        <v>37</v>
      </c>
      <c r="AL281" s="83">
        <f>AL276/8</f>
        <v>47.475</v>
      </c>
      <c r="AO281" s="59"/>
      <c r="AP281" s="60"/>
      <c r="AQ281" s="61"/>
      <c r="AR281" s="62">
        <v>378</v>
      </c>
      <c r="AS281" s="61">
        <v>37.8</v>
      </c>
      <c r="AT281" s="61">
        <v>30</v>
      </c>
      <c r="AU281" s="75" t="s">
        <v>97</v>
      </c>
      <c r="AV281" s="84"/>
      <c r="AW281" s="77"/>
      <c r="AX281" s="82" t="s">
        <v>37</v>
      </c>
      <c r="AY281" s="83">
        <f>AY276/8</f>
        <v>35.94375</v>
      </c>
      <c r="BB281" s="59"/>
      <c r="BC281" s="60"/>
      <c r="BD281" s="61"/>
      <c r="BE281" s="62"/>
      <c r="BF281" s="61"/>
      <c r="BG281" s="61"/>
      <c r="BH281" s="75"/>
      <c r="BI281" s="76"/>
    </row>
    <row r="282" ht="15.75" spans="2:64">
      <c r="B282" s="102">
        <f t="shared" ref="B282:G282" si="51">SUM(B258:B281)</f>
        <v>423</v>
      </c>
      <c r="C282" s="103">
        <f t="shared" si="51"/>
        <v>3480</v>
      </c>
      <c r="D282" s="104">
        <f t="shared" si="51"/>
        <v>361</v>
      </c>
      <c r="E282" s="105">
        <f t="shared" si="51"/>
        <v>2532</v>
      </c>
      <c r="F282" s="106">
        <f t="shared" si="51"/>
        <v>268.85</v>
      </c>
      <c r="G282" s="107">
        <f t="shared" si="51"/>
        <v>1433</v>
      </c>
      <c r="H282" s="108" t="s">
        <v>54</v>
      </c>
      <c r="I282" s="109"/>
      <c r="O282" s="69"/>
      <c r="P282" s="70"/>
      <c r="Q282" s="71"/>
      <c r="R282" s="70">
        <v>411</v>
      </c>
      <c r="S282" s="70">
        <v>50</v>
      </c>
      <c r="T282" s="70"/>
      <c r="U282" s="72"/>
      <c r="V282" s="73"/>
      <c r="W282" s="77"/>
      <c r="X282" s="58"/>
      <c r="Y282" s="58"/>
      <c r="AB282" s="69"/>
      <c r="AC282" s="70"/>
      <c r="AD282" s="85"/>
      <c r="AE282" s="70">
        <v>175</v>
      </c>
      <c r="AF282" s="70">
        <v>17.5</v>
      </c>
      <c r="AG282" s="70"/>
      <c r="AH282" s="72"/>
      <c r="AI282" s="73"/>
      <c r="AJ282" s="86"/>
      <c r="AK282" s="77"/>
      <c r="AL282" s="87"/>
      <c r="AO282" s="69"/>
      <c r="AP282" s="70">
        <v>257</v>
      </c>
      <c r="AQ282" s="85">
        <v>43</v>
      </c>
      <c r="AR282" s="70"/>
      <c r="AS282" s="70"/>
      <c r="AT282" s="70">
        <v>268</v>
      </c>
      <c r="AU282" s="72" t="s">
        <v>181</v>
      </c>
      <c r="AV282" s="73"/>
      <c r="AW282" s="86"/>
      <c r="AX282" s="77"/>
      <c r="AY282" s="87"/>
      <c r="BB282" s="96"/>
      <c r="BC282" s="97"/>
      <c r="BD282" s="98"/>
      <c r="BE282" s="99"/>
      <c r="BF282" s="98"/>
      <c r="BG282" s="98"/>
      <c r="BH282" s="72"/>
      <c r="BI282" s="73"/>
    </row>
    <row r="283" spans="2:64">
      <c r="O283" s="59"/>
      <c r="P283" s="60"/>
      <c r="Q283" s="88"/>
      <c r="R283" s="62">
        <v>192</v>
      </c>
      <c r="S283" s="61">
        <v>38.4</v>
      </c>
      <c r="T283" s="61"/>
      <c r="U283" s="75"/>
      <c r="V283" s="76"/>
      <c r="W283" s="77"/>
      <c r="X283" s="58"/>
      <c r="Y283" s="58"/>
      <c r="AB283" s="59"/>
      <c r="AC283" s="60"/>
      <c r="AD283" s="61"/>
      <c r="AE283" s="62">
        <v>400</v>
      </c>
      <c r="AF283" s="61">
        <v>40</v>
      </c>
      <c r="AG283" s="61"/>
      <c r="AH283" s="75"/>
      <c r="AI283" s="76"/>
      <c r="AJ283" s="77"/>
      <c r="AK283" s="58"/>
      <c r="AL283" s="58"/>
      <c r="AO283" s="59"/>
      <c r="AP283" s="60">
        <v>1528</v>
      </c>
      <c r="AQ283" s="61"/>
      <c r="AR283" s="62"/>
      <c r="AS283" s="61"/>
      <c r="AT283" s="61">
        <v>630</v>
      </c>
      <c r="AU283" s="75" t="s">
        <v>39</v>
      </c>
      <c r="AV283" s="84"/>
      <c r="AW283" s="77"/>
      <c r="AX283" s="58"/>
      <c r="AY283" s="58"/>
      <c r="BB283" s="59"/>
      <c r="BC283" s="60"/>
      <c r="BD283" s="61"/>
      <c r="BE283" s="62"/>
      <c r="BF283" s="61"/>
      <c r="BG283" s="61"/>
      <c r="BH283" s="75"/>
      <c r="BI283" s="76"/>
    </row>
    <row r="284" ht="15.75" spans="2:64">
      <c r="O284" s="69"/>
      <c r="P284" s="70"/>
      <c r="Q284" s="71"/>
      <c r="R284" s="70">
        <v>297</v>
      </c>
      <c r="S284" s="70">
        <v>29.7</v>
      </c>
      <c r="T284" s="70"/>
      <c r="U284" s="72"/>
      <c r="V284" s="73"/>
      <c r="W284" s="89" t="s">
        <v>44</v>
      </c>
      <c r="X284" s="90" t="s">
        <v>45</v>
      </c>
      <c r="Y284" s="90" t="s">
        <v>46</v>
      </c>
      <c r="AB284" s="69"/>
      <c r="AC284" s="70"/>
      <c r="AD284" s="71"/>
      <c r="AE284" s="70">
        <v>632</v>
      </c>
      <c r="AF284" s="70">
        <v>94.8</v>
      </c>
      <c r="AG284" s="70"/>
      <c r="AH284" s="72"/>
      <c r="AI284" s="73"/>
      <c r="AJ284" s="77"/>
      <c r="AK284" s="58"/>
      <c r="AL284" s="58"/>
      <c r="AO284" s="69"/>
      <c r="AP284" s="70">
        <v>501</v>
      </c>
      <c r="AQ284" s="85">
        <v>49</v>
      </c>
      <c r="AR284" s="70"/>
      <c r="AS284" s="70"/>
      <c r="AT284" s="70"/>
      <c r="AU284" s="72"/>
      <c r="AV284" s="73"/>
      <c r="AW284" s="77"/>
      <c r="AX284" s="58"/>
      <c r="AY284" s="58"/>
      <c r="BB284" s="96"/>
      <c r="BC284" s="97"/>
      <c r="BD284" s="98"/>
      <c r="BE284" s="99"/>
      <c r="BF284" s="98"/>
      <c r="BG284" s="98"/>
      <c r="BH284" s="72"/>
      <c r="BI284" s="73"/>
    </row>
    <row r="285" ht="21" customHeight="1" spans="2:64">
      <c r="B285" s="33" t="s">
        <v>182</v>
      </c>
      <c r="C285" s="34"/>
      <c r="D285" s="34"/>
      <c r="E285" s="34"/>
      <c r="F285" s="34"/>
      <c r="G285" s="34"/>
      <c r="H285" s="34"/>
      <c r="I285" s="34"/>
      <c r="J285" s="34"/>
      <c r="K285" s="34"/>
      <c r="L285" s="35"/>
      <c r="O285" s="59"/>
      <c r="P285" s="60"/>
      <c r="Q285" s="61">
        <v>14</v>
      </c>
      <c r="R285" s="62">
        <v>142</v>
      </c>
      <c r="S285" s="61"/>
      <c r="T285" s="61"/>
      <c r="U285" s="75"/>
      <c r="V285" s="76"/>
      <c r="W285" s="92" t="s">
        <v>47</v>
      </c>
      <c r="X285" s="93" t="s">
        <v>48</v>
      </c>
      <c r="Y285" s="93" t="s">
        <v>66</v>
      </c>
      <c r="AB285" s="59"/>
      <c r="AC285" s="60"/>
      <c r="AD285" s="88"/>
      <c r="AE285" s="62">
        <v>176</v>
      </c>
      <c r="AF285" s="61"/>
      <c r="AG285" s="61"/>
      <c r="AH285" s="75"/>
      <c r="AI285" s="76"/>
      <c r="AJ285" s="77"/>
      <c r="AK285" s="58"/>
      <c r="AL285" s="58"/>
      <c r="AO285" s="59"/>
      <c r="AP285" s="60"/>
      <c r="AQ285" s="61"/>
      <c r="AR285" s="62">
        <v>911</v>
      </c>
      <c r="AS285" s="61">
        <v>91.1</v>
      </c>
      <c r="AT285" s="61"/>
      <c r="AU285" s="75"/>
      <c r="AV285" s="84"/>
      <c r="AW285" s="77"/>
      <c r="AX285" s="58"/>
      <c r="AY285" s="58"/>
      <c r="BB285" s="102">
        <f t="shared" ref="BB285:BG285" si="52">SUM(BB265:BB284)</f>
        <v>1821</v>
      </c>
      <c r="BC285" s="103">
        <f t="shared" si="52"/>
        <v>2667</v>
      </c>
      <c r="BD285" s="104">
        <f t="shared" si="52"/>
        <v>167</v>
      </c>
      <c r="BE285" s="105">
        <f t="shared" si="52"/>
        <v>1871</v>
      </c>
      <c r="BF285" s="106">
        <f t="shared" si="52"/>
        <v>156.25</v>
      </c>
      <c r="BG285" s="107">
        <f t="shared" si="52"/>
        <v>2151</v>
      </c>
      <c r="BH285" s="108" t="s">
        <v>54</v>
      </c>
      <c r="BI285" s="109"/>
    </row>
    <row r="286" ht="15.75" spans="2:64">
      <c r="B286" s="36"/>
      <c r="C286" s="37"/>
      <c r="D286" s="37"/>
      <c r="E286" s="37"/>
      <c r="F286" s="37"/>
      <c r="G286" s="37"/>
      <c r="H286" s="37"/>
      <c r="I286" s="37"/>
      <c r="J286" s="37"/>
      <c r="K286" s="37"/>
      <c r="L286" s="38"/>
      <c r="O286" s="69"/>
      <c r="P286" s="70">
        <v>407</v>
      </c>
      <c r="Q286" s="71"/>
      <c r="R286" s="70"/>
      <c r="S286" s="70"/>
      <c r="T286" s="70"/>
      <c r="U286" s="72"/>
      <c r="V286" s="73"/>
      <c r="W286" s="94" t="s">
        <v>52</v>
      </c>
      <c r="X286" s="95" t="s">
        <v>27</v>
      </c>
      <c r="Y286" s="95" t="s">
        <v>65</v>
      </c>
      <c r="AB286" s="69"/>
      <c r="AC286" s="70"/>
      <c r="AD286" s="71"/>
      <c r="AE286" s="70">
        <v>230</v>
      </c>
      <c r="AF286" s="70">
        <v>23</v>
      </c>
      <c r="AG286" s="70"/>
      <c r="AH286" s="72"/>
      <c r="AI286" s="73"/>
      <c r="AJ286" s="89" t="s">
        <v>44</v>
      </c>
      <c r="AK286" s="90" t="s">
        <v>45</v>
      </c>
      <c r="AL286" s="90" t="s">
        <v>46</v>
      </c>
      <c r="AO286" s="69"/>
      <c r="AP286" s="70">
        <v>165</v>
      </c>
      <c r="AQ286" s="85"/>
      <c r="AR286" s="70"/>
      <c r="AS286" s="70"/>
      <c r="AT286" s="70"/>
      <c r="AU286" s="72"/>
      <c r="AV286" s="73"/>
      <c r="AW286" s="89" t="s">
        <v>44</v>
      </c>
      <c r="AX286" s="90" t="s">
        <v>45</v>
      </c>
      <c r="AY286" s="90" t="s">
        <v>46</v>
      </c>
    </row>
    <row r="287" ht="15.75" spans="2:64">
      <c r="B287" s="39" t="s">
        <v>12</v>
      </c>
      <c r="C287" s="40" t="s">
        <v>13</v>
      </c>
      <c r="D287" s="41"/>
      <c r="E287" s="42" t="s">
        <v>14</v>
      </c>
      <c r="F287" s="43"/>
      <c r="G287" s="44" t="s">
        <v>15</v>
      </c>
      <c r="H287" s="45"/>
      <c r="I287" s="46"/>
      <c r="J287" s="47" t="s">
        <v>16</v>
      </c>
      <c r="K287" s="48"/>
      <c r="L287" s="49">
        <f>C313+E313</f>
        <v>7185</v>
      </c>
      <c r="O287" s="59"/>
      <c r="P287" s="60"/>
      <c r="Q287" s="61"/>
      <c r="R287" s="62">
        <v>305</v>
      </c>
      <c r="S287" s="61">
        <v>30.5</v>
      </c>
      <c r="T287" s="61"/>
      <c r="U287" s="75"/>
      <c r="V287" s="76"/>
      <c r="W287" s="77"/>
      <c r="X287" s="77"/>
      <c r="Y287" s="87"/>
      <c r="AB287" s="59"/>
      <c r="AC287" s="60"/>
      <c r="AD287" s="61"/>
      <c r="AE287" s="62">
        <v>230</v>
      </c>
      <c r="AF287" s="61">
        <v>23</v>
      </c>
      <c r="AG287" s="61"/>
      <c r="AH287" s="75"/>
      <c r="AI287" s="76"/>
      <c r="AJ287" s="92" t="s">
        <v>47</v>
      </c>
      <c r="AK287" s="93" t="s">
        <v>48</v>
      </c>
      <c r="AL287" s="93" t="s">
        <v>65</v>
      </c>
      <c r="AO287" s="59"/>
      <c r="AP287" s="60">
        <v>418</v>
      </c>
      <c r="AQ287" s="61"/>
      <c r="AR287" s="62"/>
      <c r="AS287" s="61"/>
      <c r="AT287" s="61"/>
      <c r="AU287" s="75"/>
      <c r="AV287" s="84"/>
      <c r="AW287" s="92" t="s">
        <v>47</v>
      </c>
      <c r="AX287" s="93" t="s">
        <v>51</v>
      </c>
      <c r="AY287" s="93" t="s">
        <v>43</v>
      </c>
    </row>
    <row r="288" ht="15.75" spans="2:64">
      <c r="B288" s="50"/>
      <c r="C288" s="51" t="s">
        <v>17</v>
      </c>
      <c r="D288" s="51" t="s">
        <v>18</v>
      </c>
      <c r="E288" s="52" t="s">
        <v>17</v>
      </c>
      <c r="F288" s="52" t="s">
        <v>18</v>
      </c>
      <c r="G288" s="53"/>
      <c r="H288" s="54"/>
      <c r="I288" s="55"/>
      <c r="J288" s="56" t="s">
        <v>19</v>
      </c>
      <c r="K288" s="57"/>
      <c r="L288" s="49">
        <f>D313+F313</f>
        <v>720.1</v>
      </c>
      <c r="O288" s="69"/>
      <c r="P288" s="70">
        <v>662</v>
      </c>
      <c r="Q288" s="71">
        <v>60</v>
      </c>
      <c r="R288" s="70"/>
      <c r="S288" s="70"/>
      <c r="T288" s="70"/>
      <c r="U288" s="72"/>
      <c r="V288" s="73"/>
      <c r="W288" s="58"/>
      <c r="X288" s="58"/>
      <c r="Y288" s="58"/>
      <c r="AB288" s="69"/>
      <c r="AC288" s="70">
        <v>570</v>
      </c>
      <c r="AD288" s="71">
        <v>55</v>
      </c>
      <c r="AE288" s="70"/>
      <c r="AF288" s="70"/>
      <c r="AG288" s="70"/>
      <c r="AH288" s="72"/>
      <c r="AI288" s="73"/>
      <c r="AJ288" s="94" t="s">
        <v>52</v>
      </c>
      <c r="AK288" s="95" t="s">
        <v>27</v>
      </c>
      <c r="AL288" s="95" t="s">
        <v>43</v>
      </c>
      <c r="AO288" s="69"/>
      <c r="AP288" s="70"/>
      <c r="AQ288" s="85"/>
      <c r="AR288" s="70"/>
      <c r="AS288" s="70"/>
      <c r="AT288" s="70"/>
      <c r="AU288" s="72"/>
      <c r="AV288" s="73"/>
      <c r="AW288" s="94" t="s">
        <v>52</v>
      </c>
      <c r="AX288" s="95" t="s">
        <v>27</v>
      </c>
      <c r="AY288" s="95" t="s">
        <v>67</v>
      </c>
    </row>
    <row r="289" ht="15.75" spans="2:64">
      <c r="B289" s="59">
        <v>2831</v>
      </c>
      <c r="C289" s="60"/>
      <c r="D289" s="61"/>
      <c r="E289" s="62">
        <v>170</v>
      </c>
      <c r="F289" s="61">
        <v>17</v>
      </c>
      <c r="G289" s="61">
        <v>9</v>
      </c>
      <c r="H289" s="63" t="s">
        <v>64</v>
      </c>
      <c r="I289" s="64"/>
      <c r="J289" s="65" t="s">
        <v>21</v>
      </c>
      <c r="K289" s="66"/>
      <c r="L289" s="67">
        <f>G313</f>
        <v>1830</v>
      </c>
      <c r="O289" s="59"/>
      <c r="P289" s="60"/>
      <c r="Q289" s="61"/>
      <c r="R289" s="62">
        <v>455</v>
      </c>
      <c r="S289" s="61">
        <v>22.75</v>
      </c>
      <c r="T289" s="61"/>
      <c r="U289" s="75"/>
      <c r="V289" s="76"/>
      <c r="W289" s="58"/>
      <c r="X289" s="58"/>
      <c r="Y289" s="58"/>
      <c r="AB289" s="59"/>
      <c r="AC289" s="60"/>
      <c r="AD289" s="61"/>
      <c r="AE289" s="62"/>
      <c r="AF289" s="61"/>
      <c r="AG289" s="61"/>
      <c r="AH289" s="75"/>
      <c r="AI289" s="76"/>
      <c r="AJ289" s="77"/>
      <c r="AK289" s="77"/>
      <c r="AL289" s="87"/>
      <c r="AO289" s="59"/>
      <c r="AP289" s="60"/>
      <c r="AQ289" s="61"/>
      <c r="AR289" s="62"/>
      <c r="AS289" s="61"/>
      <c r="AT289" s="61"/>
      <c r="AU289" s="75"/>
      <c r="AV289" s="84"/>
      <c r="AW289" s="77"/>
      <c r="AX289" s="77"/>
      <c r="AY289" s="87"/>
      <c r="BB289" s="33" t="s">
        <v>183</v>
      </c>
      <c r="BC289" s="34"/>
      <c r="BD289" s="34"/>
      <c r="BE289" s="34"/>
      <c r="BF289" s="34"/>
      <c r="BG289" s="34"/>
      <c r="BH289" s="34"/>
      <c r="BI289" s="34"/>
      <c r="BJ289" s="34"/>
      <c r="BK289" s="34"/>
      <c r="BL289" s="35"/>
    </row>
    <row r="290" ht="15.75" spans="2:64">
      <c r="B290" s="69"/>
      <c r="C290" s="70">
        <v>400</v>
      </c>
      <c r="D290" s="71">
        <v>50</v>
      </c>
      <c r="E290" s="70"/>
      <c r="F290" s="70"/>
      <c r="G290" s="70">
        <v>30</v>
      </c>
      <c r="H290" s="72" t="s">
        <v>74</v>
      </c>
      <c r="I290" s="73"/>
      <c r="J290" s="74" t="s">
        <v>26</v>
      </c>
      <c r="K290" s="57"/>
      <c r="L290" s="49">
        <f>B313+L287+L288-L289-E313-F313</f>
        <v>5173</v>
      </c>
      <c r="O290" s="69"/>
      <c r="P290" s="71"/>
      <c r="Q290" s="71"/>
      <c r="R290" s="70">
        <v>374</v>
      </c>
      <c r="S290" s="70">
        <v>37.4</v>
      </c>
      <c r="T290" s="70"/>
      <c r="U290" s="72"/>
      <c r="V290" s="73"/>
      <c r="W290" s="58"/>
      <c r="X290" s="58"/>
      <c r="Y290" s="58"/>
      <c r="AB290" s="69"/>
      <c r="AC290" s="70"/>
      <c r="AD290" s="71"/>
      <c r="AE290" s="70"/>
      <c r="AF290" s="70"/>
      <c r="AG290" s="70"/>
      <c r="AH290" s="72"/>
      <c r="AI290" s="73"/>
      <c r="AJ290" s="58"/>
      <c r="AK290" s="58"/>
      <c r="AL290" s="58"/>
      <c r="AO290" s="69"/>
      <c r="AP290" s="70"/>
      <c r="AQ290" s="85"/>
      <c r="AR290" s="70"/>
      <c r="AS290" s="70"/>
      <c r="AT290" s="70"/>
      <c r="AU290" s="72"/>
      <c r="AV290" s="73"/>
      <c r="AW290" s="58"/>
      <c r="AX290" s="58"/>
      <c r="AY290" s="58"/>
      <c r="BB290" s="36"/>
      <c r="BC290" s="37"/>
      <c r="BD290" s="37"/>
      <c r="BE290" s="37"/>
      <c r="BF290" s="37"/>
      <c r="BG290" s="37"/>
      <c r="BH290" s="37"/>
      <c r="BI290" s="37"/>
      <c r="BJ290" s="37"/>
      <c r="BK290" s="37"/>
      <c r="BL290" s="38"/>
    </row>
    <row r="291" ht="15.75" spans="2:64">
      <c r="B291" s="59"/>
      <c r="C291" s="60">
        <v>475</v>
      </c>
      <c r="D291" s="61">
        <v>25</v>
      </c>
      <c r="E291" s="62"/>
      <c r="F291" s="61"/>
      <c r="G291" s="61">
        <v>1791</v>
      </c>
      <c r="H291" s="75" t="s">
        <v>39</v>
      </c>
      <c r="I291" s="76"/>
      <c r="J291" s="77"/>
      <c r="K291" s="78" t="s">
        <v>30</v>
      </c>
      <c r="L291" s="79">
        <f>L288/4</f>
        <v>180.025</v>
      </c>
      <c r="O291" s="59"/>
      <c r="P291" s="61"/>
      <c r="Q291" s="61"/>
      <c r="R291" s="62">
        <v>375</v>
      </c>
      <c r="S291" s="61">
        <v>18.75</v>
      </c>
      <c r="T291" s="61"/>
      <c r="U291" s="75"/>
      <c r="V291" s="76"/>
      <c r="W291" s="58"/>
      <c r="X291" s="58"/>
      <c r="Y291" s="58"/>
      <c r="AB291" s="59"/>
      <c r="AC291" s="60"/>
      <c r="AD291" s="61"/>
      <c r="AE291" s="62"/>
      <c r="AF291" s="61"/>
      <c r="AG291" s="61"/>
      <c r="AH291" s="75"/>
      <c r="AI291" s="76"/>
      <c r="AJ291" s="58"/>
      <c r="AK291" s="58"/>
      <c r="AL291" s="58"/>
      <c r="AO291" s="59"/>
      <c r="AP291" s="60"/>
      <c r="AQ291" s="61"/>
      <c r="AR291" s="62"/>
      <c r="AS291" s="61"/>
      <c r="AT291" s="61"/>
      <c r="AU291" s="75"/>
      <c r="AV291" s="84"/>
      <c r="AW291" s="58"/>
      <c r="AX291" s="58"/>
      <c r="AY291" s="58"/>
      <c r="BB291" s="39" t="s">
        <v>12</v>
      </c>
      <c r="BC291" s="40" t="s">
        <v>13</v>
      </c>
      <c r="BD291" s="41"/>
      <c r="BE291" s="42" t="s">
        <v>14</v>
      </c>
      <c r="BF291" s="43"/>
      <c r="BG291" s="44" t="s">
        <v>15</v>
      </c>
      <c r="BH291" s="45"/>
      <c r="BI291" s="46"/>
      <c r="BJ291" s="47" t="s">
        <v>16</v>
      </c>
      <c r="BK291" s="48"/>
      <c r="BL291" s="49">
        <f>BC313+BE313</f>
        <v>2477</v>
      </c>
    </row>
    <row r="292" ht="15.75" spans="2:64">
      <c r="B292" s="69"/>
      <c r="C292" s="70"/>
      <c r="D292" s="71"/>
      <c r="E292" s="70">
        <v>967</v>
      </c>
      <c r="F292" s="70">
        <v>96.7</v>
      </c>
      <c r="G292" s="70"/>
      <c r="H292" s="72"/>
      <c r="I292" s="73"/>
      <c r="J292" s="77"/>
      <c r="K292" s="80" t="s">
        <v>34</v>
      </c>
      <c r="L292" s="81">
        <f>L288/6</f>
        <v>120.016666666667</v>
      </c>
      <c r="O292" s="69"/>
      <c r="P292" s="71">
        <v>493</v>
      </c>
      <c r="Q292" s="71">
        <v>27</v>
      </c>
      <c r="R292" s="70"/>
      <c r="S292" s="70"/>
      <c r="T292" s="70"/>
      <c r="U292" s="72"/>
      <c r="V292" s="73"/>
      <c r="W292" s="58"/>
      <c r="X292" s="58"/>
      <c r="Y292" s="58"/>
      <c r="AB292" s="96"/>
      <c r="AC292" s="97"/>
      <c r="AD292" s="98"/>
      <c r="AE292" s="99"/>
      <c r="AF292" s="98"/>
      <c r="AG292" s="98"/>
      <c r="AH292" s="72"/>
      <c r="AI292" s="73"/>
      <c r="AO292" s="96"/>
      <c r="AP292" s="97"/>
      <c r="AQ292" s="98"/>
      <c r="AR292" s="99"/>
      <c r="AS292" s="98"/>
      <c r="AT292" s="98"/>
      <c r="AU292" s="72"/>
      <c r="AV292" s="73"/>
      <c r="BB292" s="50"/>
      <c r="BC292" s="51" t="s">
        <v>17</v>
      </c>
      <c r="BD292" s="51" t="s">
        <v>18</v>
      </c>
      <c r="BE292" s="52" t="s">
        <v>17</v>
      </c>
      <c r="BF292" s="52" t="s">
        <v>18</v>
      </c>
      <c r="BG292" s="53"/>
      <c r="BH292" s="54"/>
      <c r="BI292" s="55"/>
      <c r="BJ292" s="56" t="s">
        <v>19</v>
      </c>
      <c r="BK292" s="57"/>
      <c r="BL292" s="49">
        <f>BD313+BF313</f>
        <v>179.7</v>
      </c>
    </row>
    <row r="293" ht="15.75" spans="2:64">
      <c r="B293" s="59"/>
      <c r="C293" s="60">
        <v>616</v>
      </c>
      <c r="D293" s="61">
        <v>60</v>
      </c>
      <c r="E293" s="62"/>
      <c r="F293" s="61"/>
      <c r="G293" s="61"/>
      <c r="H293" s="75"/>
      <c r="I293" s="76"/>
      <c r="J293" s="77"/>
      <c r="K293" s="82" t="s">
        <v>37</v>
      </c>
      <c r="L293" s="83">
        <f>L288/8</f>
        <v>90.0125</v>
      </c>
      <c r="O293" s="59"/>
      <c r="P293" s="61"/>
      <c r="Q293" s="61"/>
      <c r="R293" s="62"/>
      <c r="S293" s="61"/>
      <c r="T293" s="61"/>
      <c r="U293" s="75"/>
      <c r="V293" s="76"/>
      <c r="W293" s="58"/>
      <c r="X293" s="58"/>
      <c r="Y293" s="58"/>
      <c r="AB293" s="59"/>
      <c r="AC293" s="60"/>
      <c r="AD293" s="61"/>
      <c r="AE293" s="62"/>
      <c r="AF293" s="61"/>
      <c r="AG293" s="61"/>
      <c r="AH293" s="75"/>
      <c r="AI293" s="76"/>
      <c r="AO293" s="59"/>
      <c r="AP293" s="60"/>
      <c r="AQ293" s="61"/>
      <c r="AR293" s="62"/>
      <c r="AS293" s="61"/>
      <c r="AT293" s="61"/>
      <c r="AU293" s="75"/>
      <c r="AV293" s="76"/>
      <c r="BB293" s="59">
        <v>607</v>
      </c>
      <c r="BC293" s="68">
        <v>55</v>
      </c>
      <c r="BD293" s="61"/>
      <c r="BE293" s="62"/>
      <c r="BF293" s="61"/>
      <c r="BG293" s="61">
        <v>200</v>
      </c>
      <c r="BH293" s="63" t="s">
        <v>184</v>
      </c>
      <c r="BI293" s="64"/>
      <c r="BJ293" s="65" t="s">
        <v>21</v>
      </c>
      <c r="BK293" s="66"/>
      <c r="BL293" s="67">
        <f>BG313</f>
        <v>230</v>
      </c>
    </row>
    <row r="294" ht="15.75" spans="2:64">
      <c r="B294" s="69"/>
      <c r="C294" s="70">
        <v>631</v>
      </c>
      <c r="D294" s="85">
        <v>39</v>
      </c>
      <c r="E294" s="70"/>
      <c r="F294" s="70"/>
      <c r="G294" s="70"/>
      <c r="H294" s="72"/>
      <c r="I294" s="73"/>
      <c r="J294" s="86"/>
      <c r="K294" s="77"/>
      <c r="L294" s="87"/>
      <c r="O294" s="69"/>
      <c r="P294" s="71"/>
      <c r="Q294" s="71"/>
      <c r="R294" s="70"/>
      <c r="S294" s="70"/>
      <c r="T294" s="70"/>
      <c r="U294" s="72"/>
      <c r="V294" s="73"/>
      <c r="W294" s="58"/>
      <c r="AB294" s="96"/>
      <c r="AC294" s="97"/>
      <c r="AD294" s="98"/>
      <c r="AE294" s="99"/>
      <c r="AF294" s="98"/>
      <c r="AG294" s="98"/>
      <c r="AH294" s="114"/>
      <c r="AI294" s="115"/>
      <c r="AO294" s="96"/>
      <c r="AP294" s="97"/>
      <c r="AQ294" s="98"/>
      <c r="AR294" s="99"/>
      <c r="AS294" s="98"/>
      <c r="AT294" s="98"/>
      <c r="AU294" s="72"/>
      <c r="AV294" s="73"/>
      <c r="BB294" s="69"/>
      <c r="BC294" s="70">
        <v>371</v>
      </c>
      <c r="BD294" s="71">
        <v>29</v>
      </c>
      <c r="BE294" s="70"/>
      <c r="BF294" s="70"/>
      <c r="BG294" s="70">
        <v>30</v>
      </c>
      <c r="BH294" s="72" t="s">
        <v>29</v>
      </c>
      <c r="BI294" s="73"/>
      <c r="BJ294" s="74" t="s">
        <v>26</v>
      </c>
      <c r="BK294" s="57"/>
      <c r="BL294" s="49">
        <f>BB313+BL291+BL292-BL293-BE313-BF313</f>
        <v>1376</v>
      </c>
    </row>
    <row r="295" ht="15.75" spans="2:64">
      <c r="B295" s="59"/>
      <c r="C295" s="60">
        <v>108</v>
      </c>
      <c r="D295" s="61">
        <v>12</v>
      </c>
      <c r="E295" s="62"/>
      <c r="F295" s="61"/>
      <c r="G295" s="61"/>
      <c r="H295" s="75"/>
      <c r="I295" s="76"/>
      <c r="J295" s="77"/>
      <c r="K295" s="58"/>
      <c r="L295" s="58"/>
      <c r="O295" s="59"/>
      <c r="P295" s="60"/>
      <c r="Q295" s="61"/>
      <c r="R295" s="62"/>
      <c r="S295" s="61"/>
      <c r="T295" s="61"/>
      <c r="U295" s="75"/>
      <c r="V295" s="76"/>
      <c r="AB295" s="96"/>
      <c r="AC295" s="97"/>
      <c r="AD295" s="98"/>
      <c r="AE295" s="99"/>
      <c r="AF295" s="98"/>
      <c r="AG295" s="98"/>
      <c r="AH295" s="100"/>
      <c r="AI295" s="101"/>
      <c r="AO295" s="59"/>
      <c r="AP295" s="60"/>
      <c r="AQ295" s="61"/>
      <c r="AR295" s="62"/>
      <c r="AS295" s="61"/>
      <c r="AT295" s="61"/>
      <c r="AU295" s="75"/>
      <c r="AV295" s="76"/>
      <c r="BB295" s="59"/>
      <c r="BC295" s="60">
        <v>15</v>
      </c>
      <c r="BD295" s="61"/>
      <c r="BE295" s="62"/>
      <c r="BF295" s="61"/>
      <c r="BG295" s="61"/>
      <c r="BH295" s="75"/>
      <c r="BI295" s="76"/>
      <c r="BJ295" s="77"/>
      <c r="BK295" s="78" t="s">
        <v>30</v>
      </c>
      <c r="BL295" s="79">
        <f>BL292/4</f>
        <v>44.925</v>
      </c>
    </row>
    <row r="296" ht="15.75" spans="2:64">
      <c r="B296" s="69"/>
      <c r="C296" s="70"/>
      <c r="D296" s="71"/>
      <c r="E296" s="70">
        <v>473</v>
      </c>
      <c r="F296" s="70">
        <v>47.3</v>
      </c>
      <c r="G296" s="70"/>
      <c r="H296" s="72"/>
      <c r="I296" s="73"/>
      <c r="J296" s="77"/>
      <c r="K296" s="58"/>
      <c r="L296" s="58"/>
      <c r="O296" s="96"/>
      <c r="P296" s="97"/>
      <c r="Q296" s="98"/>
      <c r="R296" s="99"/>
      <c r="S296" s="98"/>
      <c r="T296" s="98"/>
      <c r="U296" s="100"/>
      <c r="V296" s="101"/>
      <c r="AB296" s="102">
        <f t="shared" ref="AB296:AG296" si="53">SUM(AB277:AB295)</f>
        <v>424</v>
      </c>
      <c r="AC296" s="103">
        <f t="shared" si="53"/>
        <v>1102</v>
      </c>
      <c r="AD296" s="104">
        <f t="shared" si="53"/>
        <v>130</v>
      </c>
      <c r="AE296" s="105">
        <f t="shared" si="53"/>
        <v>2893</v>
      </c>
      <c r="AF296" s="106">
        <f t="shared" si="53"/>
        <v>249.8</v>
      </c>
      <c r="AG296" s="107">
        <f t="shared" si="53"/>
        <v>61</v>
      </c>
      <c r="AH296" s="108" t="s">
        <v>54</v>
      </c>
      <c r="AI296" s="109"/>
      <c r="AO296" s="96"/>
      <c r="AP296" s="97"/>
      <c r="AQ296" s="98"/>
      <c r="AR296" s="99"/>
      <c r="AS296" s="98"/>
      <c r="AT296" s="98"/>
      <c r="AU296" s="72"/>
      <c r="AV296" s="73"/>
      <c r="BB296" s="69"/>
      <c r="BC296" s="70"/>
      <c r="BD296" s="71"/>
      <c r="BE296" s="70">
        <v>438</v>
      </c>
      <c r="BF296" s="70">
        <v>43.8</v>
      </c>
      <c r="BG296" s="70"/>
      <c r="BH296" s="72"/>
      <c r="BI296" s="73"/>
      <c r="BJ296" s="77"/>
      <c r="BK296" s="80" t="s">
        <v>34</v>
      </c>
      <c r="BL296" s="81">
        <f>BL292/6</f>
        <v>29.95</v>
      </c>
    </row>
    <row r="297" ht="15.75" spans="2:64">
      <c r="B297" s="59"/>
      <c r="C297" s="60"/>
      <c r="D297" s="88">
        <v>100</v>
      </c>
      <c r="E297" s="62">
        <v>971</v>
      </c>
      <c r="F297" s="61"/>
      <c r="G297" s="61"/>
      <c r="H297" s="75"/>
      <c r="I297" s="76"/>
      <c r="J297" s="77"/>
      <c r="K297" s="58"/>
      <c r="L297" s="58"/>
      <c r="O297" s="102">
        <f t="shared" ref="O297:T297" si="54">SUM(O275:O296)</f>
        <v>5127.5</v>
      </c>
      <c r="P297" s="103">
        <f t="shared" si="54"/>
        <v>3360</v>
      </c>
      <c r="Q297" s="104">
        <f t="shared" si="54"/>
        <v>275</v>
      </c>
      <c r="R297" s="105">
        <f t="shared" si="54"/>
        <v>3256</v>
      </c>
      <c r="S297" s="106">
        <f t="shared" si="54"/>
        <v>275.05</v>
      </c>
      <c r="T297" s="107">
        <f t="shared" si="54"/>
        <v>7356</v>
      </c>
      <c r="U297" s="108" t="s">
        <v>54</v>
      </c>
      <c r="V297" s="109"/>
      <c r="AO297" s="59"/>
      <c r="AP297" s="60"/>
      <c r="AQ297" s="61"/>
      <c r="AR297" s="62"/>
      <c r="AS297" s="61"/>
      <c r="AT297" s="61"/>
      <c r="AU297" s="75"/>
      <c r="AV297" s="76"/>
      <c r="BB297" s="59"/>
      <c r="BC297" s="60"/>
      <c r="BD297" s="61"/>
      <c r="BE297" s="62">
        <v>534</v>
      </c>
      <c r="BF297" s="61">
        <v>53.4</v>
      </c>
      <c r="BG297" s="61"/>
      <c r="BH297" s="75"/>
      <c r="BI297" s="84"/>
      <c r="BJ297" s="77"/>
      <c r="BK297" s="82" t="s">
        <v>37</v>
      </c>
      <c r="BL297" s="83">
        <f>BL292/8</f>
        <v>22.4625</v>
      </c>
    </row>
    <row r="298" ht="25" customHeight="1" spans="2:64">
      <c r="B298" s="69"/>
      <c r="C298" s="70"/>
      <c r="D298" s="71"/>
      <c r="E298" s="70">
        <v>438</v>
      </c>
      <c r="F298" s="70">
        <v>43.8</v>
      </c>
      <c r="G298" s="70"/>
      <c r="H298" s="72"/>
      <c r="I298" s="73"/>
      <c r="J298" s="89" t="s">
        <v>44</v>
      </c>
      <c r="K298" s="90" t="s">
        <v>45</v>
      </c>
      <c r="L298" s="90" t="s">
        <v>46</v>
      </c>
      <c r="AO298" s="96"/>
      <c r="AP298" s="97"/>
      <c r="AQ298" s="98"/>
      <c r="AR298" s="99"/>
      <c r="AS298" s="98"/>
      <c r="AT298" s="98"/>
      <c r="AU298" s="72"/>
      <c r="AV298" s="73"/>
      <c r="BB298" s="69"/>
      <c r="BC298" s="70">
        <v>268</v>
      </c>
      <c r="BD298" s="85"/>
      <c r="BE298" s="70">
        <v>535</v>
      </c>
      <c r="BF298" s="70">
        <v>53.5</v>
      </c>
      <c r="BG298" s="70"/>
      <c r="BH298" s="72"/>
      <c r="BI298" s="73"/>
      <c r="BJ298" s="86"/>
      <c r="BK298" s="77"/>
      <c r="BL298" s="87"/>
    </row>
    <row r="299" ht="15.75" spans="2:64">
      <c r="B299" s="59"/>
      <c r="C299" s="60"/>
      <c r="D299" s="61"/>
      <c r="E299" s="62">
        <v>463</v>
      </c>
      <c r="F299" s="61">
        <v>46.3</v>
      </c>
      <c r="G299" s="61"/>
      <c r="H299" s="75"/>
      <c r="I299" s="76"/>
      <c r="J299" s="92" t="s">
        <v>47</v>
      </c>
      <c r="K299" s="93" t="s">
        <v>174</v>
      </c>
      <c r="L299" s="93" t="s">
        <v>185</v>
      </c>
      <c r="AB299" s="33" t="s">
        <v>186</v>
      </c>
      <c r="AC299" s="34"/>
      <c r="AD299" s="34"/>
      <c r="AE299" s="34"/>
      <c r="AF299" s="34"/>
      <c r="AG299" s="34"/>
      <c r="AH299" s="34"/>
      <c r="AI299" s="34"/>
      <c r="AJ299" s="34"/>
      <c r="AK299" s="34"/>
      <c r="AL299" s="35"/>
      <c r="AO299" s="102">
        <f t="shared" ref="AO299:AT299" si="55">SUM(AO277:AO298)</f>
        <v>932</v>
      </c>
      <c r="AP299" s="103">
        <f t="shared" si="55"/>
        <v>3986</v>
      </c>
      <c r="AQ299" s="104">
        <f t="shared" si="55"/>
        <v>140</v>
      </c>
      <c r="AR299" s="105">
        <f t="shared" si="55"/>
        <v>1662</v>
      </c>
      <c r="AS299" s="106">
        <f t="shared" si="55"/>
        <v>147.55</v>
      </c>
      <c r="AT299" s="107">
        <f t="shared" si="55"/>
        <v>1077</v>
      </c>
      <c r="AU299" s="108" t="s">
        <v>54</v>
      </c>
      <c r="AV299" s="109"/>
      <c r="BB299" s="59"/>
      <c r="BC299" s="60">
        <v>64</v>
      </c>
      <c r="BD299" s="61"/>
      <c r="BE299" s="62"/>
      <c r="BF299" s="61"/>
      <c r="BG299" s="61"/>
      <c r="BH299" s="75"/>
      <c r="BI299" s="84"/>
      <c r="BJ299" s="77"/>
      <c r="BK299" s="58"/>
      <c r="BL299" s="58"/>
    </row>
    <row r="300" ht="15.75" spans="2:64">
      <c r="B300" s="69"/>
      <c r="C300" s="70">
        <v>120</v>
      </c>
      <c r="D300" s="71">
        <v>20</v>
      </c>
      <c r="E300" s="70"/>
      <c r="F300" s="70"/>
      <c r="G300" s="70"/>
      <c r="H300" s="72"/>
      <c r="I300" s="73"/>
      <c r="J300" s="94" t="s">
        <v>52</v>
      </c>
      <c r="K300" s="95" t="s">
        <v>27</v>
      </c>
      <c r="L300" s="95" t="s">
        <v>65</v>
      </c>
      <c r="O300" s="33" t="s">
        <v>187</v>
      </c>
      <c r="P300" s="34"/>
      <c r="Q300" s="34"/>
      <c r="R300" s="34"/>
      <c r="S300" s="34"/>
      <c r="T300" s="34"/>
      <c r="U300" s="34"/>
      <c r="V300" s="34"/>
      <c r="W300" s="34"/>
      <c r="X300" s="34"/>
      <c r="Y300" s="35"/>
      <c r="AB300" s="36"/>
      <c r="AC300" s="37"/>
      <c r="AD300" s="37"/>
      <c r="AE300" s="37"/>
      <c r="AF300" s="37"/>
      <c r="AG300" s="37"/>
      <c r="AH300" s="37"/>
      <c r="AI300" s="37"/>
      <c r="AJ300" s="37"/>
      <c r="AK300" s="37"/>
      <c r="AL300" s="38"/>
      <c r="BB300" s="69"/>
      <c r="BC300" s="70">
        <v>197</v>
      </c>
      <c r="BD300" s="85"/>
      <c r="BE300" s="70"/>
      <c r="BF300" s="70"/>
      <c r="BG300" s="70"/>
      <c r="BH300" s="72"/>
      <c r="BI300" s="73"/>
      <c r="BJ300" s="77"/>
      <c r="BK300" s="58"/>
      <c r="BL300" s="58"/>
    </row>
    <row r="301" ht="15.75" spans="2:64">
      <c r="B301" s="59"/>
      <c r="C301" s="60">
        <v>332</v>
      </c>
      <c r="D301" s="61">
        <v>38</v>
      </c>
      <c r="E301" s="62"/>
      <c r="F301" s="61"/>
      <c r="G301" s="61"/>
      <c r="H301" s="75"/>
      <c r="I301" s="76"/>
      <c r="J301" s="77"/>
      <c r="K301" s="77"/>
      <c r="L301" s="87"/>
      <c r="O301" s="36"/>
      <c r="P301" s="37"/>
      <c r="Q301" s="37"/>
      <c r="R301" s="37"/>
      <c r="S301" s="37"/>
      <c r="T301" s="37"/>
      <c r="U301" s="37"/>
      <c r="V301" s="37"/>
      <c r="W301" s="37"/>
      <c r="X301" s="37"/>
      <c r="Y301" s="38"/>
      <c r="AB301" s="39" t="s">
        <v>12</v>
      </c>
      <c r="AC301" s="40" t="s">
        <v>13</v>
      </c>
      <c r="AD301" s="41"/>
      <c r="AE301" s="42" t="s">
        <v>14</v>
      </c>
      <c r="AF301" s="43"/>
      <c r="AG301" s="44" t="s">
        <v>15</v>
      </c>
      <c r="AH301" s="45"/>
      <c r="AI301" s="46"/>
      <c r="AJ301" s="47" t="s">
        <v>16</v>
      </c>
      <c r="AK301" s="48"/>
      <c r="AL301" s="49">
        <f>AC327+AE327</f>
        <v>6510</v>
      </c>
      <c r="BB301" s="59"/>
      <c r="BC301" s="60"/>
      <c r="BD301" s="61"/>
      <c r="BE301" s="62"/>
      <c r="BF301" s="61"/>
      <c r="BG301" s="61"/>
      <c r="BH301" s="75"/>
      <c r="BI301" s="84"/>
      <c r="BJ301" s="77"/>
      <c r="BK301" s="58"/>
      <c r="BL301" s="58"/>
    </row>
    <row r="302" ht="15.75" spans="2:64">
      <c r="B302" s="69"/>
      <c r="C302" s="70">
        <v>626</v>
      </c>
      <c r="D302" s="71">
        <v>94</v>
      </c>
      <c r="E302" s="70"/>
      <c r="F302" s="70"/>
      <c r="G302" s="70"/>
      <c r="H302" s="72"/>
      <c r="I302" s="73"/>
      <c r="J302" s="58"/>
      <c r="K302" s="58"/>
      <c r="L302" s="58"/>
      <c r="O302" s="39" t="s">
        <v>12</v>
      </c>
      <c r="P302" s="40" t="s">
        <v>13</v>
      </c>
      <c r="Q302" s="41"/>
      <c r="R302" s="42" t="s">
        <v>14</v>
      </c>
      <c r="S302" s="43"/>
      <c r="T302" s="44" t="s">
        <v>15</v>
      </c>
      <c r="U302" s="45"/>
      <c r="V302" s="46"/>
      <c r="W302" s="47" t="s">
        <v>16</v>
      </c>
      <c r="X302" s="48"/>
      <c r="Y302" s="49">
        <f>P326+R326</f>
        <v>5050</v>
      </c>
      <c r="AB302" s="50"/>
      <c r="AC302" s="51" t="s">
        <v>17</v>
      </c>
      <c r="AD302" s="51" t="s">
        <v>18</v>
      </c>
      <c r="AE302" s="52" t="s">
        <v>17</v>
      </c>
      <c r="AF302" s="52" t="s">
        <v>18</v>
      </c>
      <c r="AG302" s="53"/>
      <c r="AH302" s="54"/>
      <c r="AI302" s="55"/>
      <c r="AJ302" s="56" t="s">
        <v>19</v>
      </c>
      <c r="AK302" s="57"/>
      <c r="AL302" s="49">
        <f>AD327+AF327</f>
        <v>566.05</v>
      </c>
      <c r="AO302" s="33" t="s">
        <v>188</v>
      </c>
      <c r="AP302" s="34"/>
      <c r="AQ302" s="34"/>
      <c r="AR302" s="34"/>
      <c r="AS302" s="34"/>
      <c r="AT302" s="34"/>
      <c r="AU302" s="34"/>
      <c r="AV302" s="34"/>
      <c r="AW302" s="34"/>
      <c r="AX302" s="34"/>
      <c r="AY302" s="35"/>
      <c r="BB302" s="69"/>
      <c r="BC302" s="70"/>
      <c r="BD302" s="85"/>
      <c r="BE302" s="70"/>
      <c r="BF302" s="70"/>
      <c r="BG302" s="70"/>
      <c r="BH302" s="72"/>
      <c r="BI302" s="73"/>
      <c r="BJ302" s="89" t="s">
        <v>44</v>
      </c>
      <c r="BK302" s="90" t="s">
        <v>45</v>
      </c>
      <c r="BL302" s="90" t="s">
        <v>46</v>
      </c>
    </row>
    <row r="303" ht="15.75" spans="2:64">
      <c r="B303" s="59"/>
      <c r="C303" s="60">
        <v>395</v>
      </c>
      <c r="D303" s="61">
        <v>31</v>
      </c>
      <c r="E303" s="62"/>
      <c r="F303" s="61"/>
      <c r="G303" s="61"/>
      <c r="H303" s="75"/>
      <c r="I303" s="76"/>
      <c r="J303" s="58"/>
      <c r="K303" s="58"/>
      <c r="L303" s="58"/>
      <c r="O303" s="50"/>
      <c r="P303" s="51" t="s">
        <v>17</v>
      </c>
      <c r="Q303" s="51" t="s">
        <v>18</v>
      </c>
      <c r="R303" s="52" t="s">
        <v>17</v>
      </c>
      <c r="S303" s="52" t="s">
        <v>18</v>
      </c>
      <c r="T303" s="53"/>
      <c r="U303" s="54"/>
      <c r="V303" s="55"/>
      <c r="W303" s="56" t="s">
        <v>19</v>
      </c>
      <c r="X303" s="57"/>
      <c r="Y303" s="49">
        <f>Q326+S326</f>
        <v>463</v>
      </c>
      <c r="AB303" s="59">
        <v>1595</v>
      </c>
      <c r="AC303" s="60"/>
      <c r="AD303" s="61"/>
      <c r="AE303" s="62">
        <v>254</v>
      </c>
      <c r="AF303" s="61">
        <v>25.4</v>
      </c>
      <c r="AG303" s="61">
        <v>1000</v>
      </c>
      <c r="AH303" s="63" t="s">
        <v>105</v>
      </c>
      <c r="AI303" s="64"/>
      <c r="AJ303" s="65" t="s">
        <v>21</v>
      </c>
      <c r="AK303" s="66"/>
      <c r="AL303" s="67">
        <f>AG327</f>
        <v>1170</v>
      </c>
      <c r="AO303" s="36"/>
      <c r="AP303" s="37"/>
      <c r="AQ303" s="37"/>
      <c r="AR303" s="37"/>
      <c r="AS303" s="37"/>
      <c r="AT303" s="37"/>
      <c r="AU303" s="37"/>
      <c r="AV303" s="37"/>
      <c r="AW303" s="37"/>
      <c r="AX303" s="37"/>
      <c r="AY303" s="38"/>
      <c r="BB303" s="59"/>
      <c r="BC303" s="60"/>
      <c r="BD303" s="61"/>
      <c r="BE303" s="62"/>
      <c r="BF303" s="61"/>
      <c r="BG303" s="61"/>
      <c r="BH303" s="75"/>
      <c r="BI303" s="84"/>
      <c r="BJ303" s="92" t="s">
        <v>47</v>
      </c>
      <c r="BK303" s="93" t="s">
        <v>27</v>
      </c>
      <c r="BL303" s="93" t="s">
        <v>43</v>
      </c>
    </row>
    <row r="304" ht="15.75" spans="2:64">
      <c r="B304" s="69"/>
      <c r="C304" s="71"/>
      <c r="D304" s="71"/>
      <c r="E304" s="70"/>
      <c r="F304" s="70"/>
      <c r="G304" s="70"/>
      <c r="H304" s="72"/>
      <c r="I304" s="73"/>
      <c r="J304" s="58"/>
      <c r="K304" s="58"/>
      <c r="L304" s="58"/>
      <c r="O304" s="59">
        <v>1404</v>
      </c>
      <c r="P304" s="60">
        <v>137</v>
      </c>
      <c r="Q304" s="61"/>
      <c r="R304" s="62"/>
      <c r="S304" s="61"/>
      <c r="T304" s="61">
        <v>46</v>
      </c>
      <c r="U304" s="63" t="s">
        <v>189</v>
      </c>
      <c r="V304" s="64"/>
      <c r="W304" s="65" t="s">
        <v>21</v>
      </c>
      <c r="X304" s="66"/>
      <c r="Y304" s="67">
        <f>T326</f>
        <v>2733</v>
      </c>
      <c r="AB304" s="69"/>
      <c r="AC304" s="70"/>
      <c r="AD304" s="71"/>
      <c r="AE304" s="70">
        <v>440</v>
      </c>
      <c r="AF304" s="70"/>
      <c r="AG304" s="70">
        <v>30</v>
      </c>
      <c r="AH304" s="72" t="s">
        <v>29</v>
      </c>
      <c r="AI304" s="73"/>
      <c r="AJ304" s="74" t="s">
        <v>26</v>
      </c>
      <c r="AK304" s="57"/>
      <c r="AL304" s="49">
        <f>AB327+AL301+AL302-AL303-AE327-AF327</f>
        <v>4212</v>
      </c>
      <c r="AO304" s="39" t="s">
        <v>12</v>
      </c>
      <c r="AP304" s="40" t="s">
        <v>13</v>
      </c>
      <c r="AQ304" s="41"/>
      <c r="AR304" s="42" t="s">
        <v>14</v>
      </c>
      <c r="AS304" s="43"/>
      <c r="AT304" s="44" t="s">
        <v>15</v>
      </c>
      <c r="AU304" s="45"/>
      <c r="AV304" s="46"/>
      <c r="AW304" s="47" t="s">
        <v>16</v>
      </c>
      <c r="AX304" s="48"/>
      <c r="AY304" s="49">
        <f>AP332+AR332</f>
        <v>9107</v>
      </c>
      <c r="BB304" s="69"/>
      <c r="BC304" s="70"/>
      <c r="BD304" s="85"/>
      <c r="BE304" s="70"/>
      <c r="BF304" s="70"/>
      <c r="BG304" s="70"/>
      <c r="BH304" s="72"/>
      <c r="BI304" s="73"/>
      <c r="BJ304" s="94" t="s">
        <v>52</v>
      </c>
      <c r="BK304" s="95" t="s">
        <v>48</v>
      </c>
      <c r="BL304" s="95" t="s">
        <v>65</v>
      </c>
    </row>
    <row r="305" ht="15.75" spans="2:64">
      <c r="B305" s="59"/>
      <c r="C305" s="61"/>
      <c r="D305" s="61"/>
      <c r="E305" s="62"/>
      <c r="F305" s="61"/>
      <c r="G305" s="61"/>
      <c r="H305" s="75"/>
      <c r="I305" s="76"/>
      <c r="J305" s="58"/>
      <c r="K305" s="58"/>
      <c r="L305" s="58"/>
      <c r="O305" s="69"/>
      <c r="P305" s="70">
        <v>195</v>
      </c>
      <c r="Q305" s="71">
        <v>15</v>
      </c>
      <c r="R305" s="70"/>
      <c r="S305" s="70"/>
      <c r="T305" s="70">
        <v>30</v>
      </c>
      <c r="U305" s="72" t="s">
        <v>29</v>
      </c>
      <c r="V305" s="73"/>
      <c r="W305" s="74" t="s">
        <v>26</v>
      </c>
      <c r="X305" s="57"/>
      <c r="Y305" s="49">
        <f>O326+Y302+Y303-Y304-R326-S326</f>
        <v>498</v>
      </c>
      <c r="AB305" s="59"/>
      <c r="AC305" s="60">
        <v>334</v>
      </c>
      <c r="AD305" s="61"/>
      <c r="AE305" s="62"/>
      <c r="AF305" s="61"/>
      <c r="AG305" s="61">
        <v>140</v>
      </c>
      <c r="AH305" s="75" t="s">
        <v>63</v>
      </c>
      <c r="AI305" s="76"/>
      <c r="AJ305" s="77"/>
      <c r="AK305" s="78" t="s">
        <v>30</v>
      </c>
      <c r="AL305" s="79">
        <f>AL302/4</f>
        <v>141.5125</v>
      </c>
      <c r="AO305" s="50"/>
      <c r="AP305" s="51" t="s">
        <v>17</v>
      </c>
      <c r="AQ305" s="51" t="s">
        <v>18</v>
      </c>
      <c r="AR305" s="52" t="s">
        <v>17</v>
      </c>
      <c r="AS305" s="52" t="s">
        <v>18</v>
      </c>
      <c r="AT305" s="53"/>
      <c r="AU305" s="54"/>
      <c r="AV305" s="55"/>
      <c r="AW305" s="56" t="s">
        <v>19</v>
      </c>
      <c r="AX305" s="57"/>
      <c r="AY305" s="49">
        <f>AQ332+AS332</f>
        <v>693.45</v>
      </c>
      <c r="BB305" s="59"/>
      <c r="BC305" s="60"/>
      <c r="BD305" s="61"/>
      <c r="BE305" s="62"/>
      <c r="BF305" s="61"/>
      <c r="BG305" s="61"/>
      <c r="BH305" s="75"/>
      <c r="BI305" s="84"/>
      <c r="BJ305" s="77"/>
      <c r="BK305" s="77"/>
      <c r="BL305" s="87"/>
    </row>
    <row r="306" ht="15.75" spans="2:64">
      <c r="B306" s="69"/>
      <c r="C306" s="70"/>
      <c r="D306" s="71"/>
      <c r="E306" s="70"/>
      <c r="F306" s="70"/>
      <c r="G306" s="70"/>
      <c r="H306" s="72"/>
      <c r="I306" s="73"/>
      <c r="J306" s="58"/>
      <c r="K306" s="58"/>
      <c r="L306" s="58"/>
      <c r="O306" s="59"/>
      <c r="P306" s="60"/>
      <c r="Q306" s="61"/>
      <c r="R306" s="62">
        <v>170</v>
      </c>
      <c r="S306" s="61">
        <v>34</v>
      </c>
      <c r="T306" s="61">
        <v>1564</v>
      </c>
      <c r="U306" s="75" t="s">
        <v>184</v>
      </c>
      <c r="V306" s="76"/>
      <c r="W306" s="77"/>
      <c r="X306" s="78" t="s">
        <v>30</v>
      </c>
      <c r="Y306" s="79">
        <f>Y303/4</f>
        <v>115.75</v>
      </c>
      <c r="AB306" s="69"/>
      <c r="AC306" s="70">
        <v>50</v>
      </c>
      <c r="AD306" s="71"/>
      <c r="AE306" s="70"/>
      <c r="AF306" s="70"/>
      <c r="AG306" s="70"/>
      <c r="AH306" s="72"/>
      <c r="AI306" s="73"/>
      <c r="AJ306" s="77"/>
      <c r="AK306" s="80" t="s">
        <v>34</v>
      </c>
      <c r="AL306" s="81">
        <f>AL302/6</f>
        <v>94.3416666666667</v>
      </c>
      <c r="AO306" s="59">
        <v>1469</v>
      </c>
      <c r="AP306" s="68">
        <v>357</v>
      </c>
      <c r="AQ306" s="61">
        <v>25</v>
      </c>
      <c r="AR306" s="62">
        <v>175</v>
      </c>
      <c r="AS306" s="61">
        <v>26.5</v>
      </c>
      <c r="AT306" s="61">
        <v>70</v>
      </c>
      <c r="AU306" s="63" t="s">
        <v>180</v>
      </c>
      <c r="AV306" s="64"/>
      <c r="AW306" s="65" t="s">
        <v>21</v>
      </c>
      <c r="AX306" s="66"/>
      <c r="AY306" s="67">
        <f>AT332</f>
        <v>718.09</v>
      </c>
      <c r="BB306" s="69"/>
      <c r="BC306" s="70"/>
      <c r="BD306" s="85"/>
      <c r="BE306" s="70"/>
      <c r="BF306" s="70"/>
      <c r="BG306" s="70"/>
      <c r="BH306" s="72"/>
      <c r="BI306" s="73"/>
      <c r="BJ306" s="58"/>
      <c r="BK306" s="58"/>
      <c r="BL306" s="58"/>
    </row>
    <row r="307" ht="15.75" spans="2:64">
      <c r="B307" s="59"/>
      <c r="C307" s="60"/>
      <c r="D307" s="61"/>
      <c r="E307" s="62"/>
      <c r="F307" s="61"/>
      <c r="G307" s="61"/>
      <c r="H307" s="75"/>
      <c r="I307" s="76"/>
      <c r="O307" s="69"/>
      <c r="P307" s="70">
        <v>390</v>
      </c>
      <c r="Q307" s="71">
        <v>30</v>
      </c>
      <c r="R307" s="70"/>
      <c r="S307" s="70"/>
      <c r="T307" s="70">
        <v>49</v>
      </c>
      <c r="U307" s="72" t="s">
        <v>36</v>
      </c>
      <c r="V307" s="73"/>
      <c r="W307" s="77"/>
      <c r="X307" s="80" t="s">
        <v>34</v>
      </c>
      <c r="Y307" s="81">
        <f>Y303/6</f>
        <v>77.1666666666667</v>
      </c>
      <c r="AB307" s="59"/>
      <c r="AC307" s="60">
        <v>137</v>
      </c>
      <c r="AD307" s="61"/>
      <c r="AE307" s="62"/>
      <c r="AF307" s="61"/>
      <c r="AG307" s="61"/>
      <c r="AH307" s="75"/>
      <c r="AI307" s="76"/>
      <c r="AJ307" s="77"/>
      <c r="AK307" s="82" t="s">
        <v>37</v>
      </c>
      <c r="AL307" s="83">
        <f>AL302/8</f>
        <v>70.75625</v>
      </c>
      <c r="AO307" s="69"/>
      <c r="AP307" s="70"/>
      <c r="AQ307" s="71"/>
      <c r="AR307" s="70">
        <v>585</v>
      </c>
      <c r="AS307" s="70">
        <v>58.5</v>
      </c>
      <c r="AT307" s="70">
        <v>49.5</v>
      </c>
      <c r="AU307" s="72" t="s">
        <v>190</v>
      </c>
      <c r="AV307" s="73"/>
      <c r="AW307" s="74" t="s">
        <v>26</v>
      </c>
      <c r="AX307" s="57"/>
      <c r="AY307" s="49">
        <f>AO332+AY304+AY305-AY306-AR332-AS332</f>
        <v>2810.91</v>
      </c>
      <c r="BB307" s="59"/>
      <c r="BC307" s="60"/>
      <c r="BD307" s="61"/>
      <c r="BE307" s="62"/>
      <c r="BF307" s="61"/>
      <c r="BG307" s="61"/>
      <c r="BH307" s="75"/>
      <c r="BI307" s="76"/>
    </row>
    <row r="308" spans="2:64">
      <c r="B308" s="69"/>
      <c r="C308" s="112"/>
      <c r="D308" s="71"/>
      <c r="E308" s="58"/>
      <c r="F308" s="70"/>
      <c r="G308" s="70"/>
      <c r="H308" s="72"/>
      <c r="I308" s="73"/>
      <c r="O308" s="59"/>
      <c r="P308" s="60"/>
      <c r="Q308" s="61"/>
      <c r="R308" s="62">
        <v>560</v>
      </c>
      <c r="S308" s="61"/>
      <c r="T308" s="61">
        <v>1044</v>
      </c>
      <c r="U308" s="75" t="s">
        <v>168</v>
      </c>
      <c r="V308" s="76"/>
      <c r="W308" s="77"/>
      <c r="X308" s="82" t="s">
        <v>37</v>
      </c>
      <c r="Y308" s="83">
        <f>Y303/8</f>
        <v>57.875</v>
      </c>
      <c r="AB308" s="69"/>
      <c r="AC308" s="70">
        <v>397</v>
      </c>
      <c r="AD308" s="85">
        <v>50</v>
      </c>
      <c r="AE308" s="70"/>
      <c r="AF308" s="70"/>
      <c r="AG308" s="70"/>
      <c r="AH308" s="72"/>
      <c r="AI308" s="73"/>
      <c r="AJ308" s="86"/>
      <c r="AK308" s="77"/>
      <c r="AL308" s="87"/>
      <c r="AO308" s="59"/>
      <c r="AP308" s="60"/>
      <c r="AQ308" s="61"/>
      <c r="AR308" s="62">
        <v>195</v>
      </c>
      <c r="AS308" s="61">
        <v>19.5</v>
      </c>
      <c r="AT308" s="61">
        <v>88</v>
      </c>
      <c r="AU308" s="75" t="s">
        <v>180</v>
      </c>
      <c r="AV308" s="76"/>
      <c r="AW308" s="77"/>
      <c r="AX308" s="78" t="s">
        <v>30</v>
      </c>
      <c r="AY308" s="79">
        <f>AY305/4</f>
        <v>173.3625</v>
      </c>
      <c r="BB308" s="96"/>
      <c r="BC308" s="97"/>
      <c r="BD308" s="98"/>
      <c r="BE308" s="99"/>
      <c r="BF308" s="98"/>
      <c r="BG308" s="98"/>
      <c r="BH308" s="72"/>
      <c r="BI308" s="73"/>
    </row>
    <row r="309" spans="2:64">
      <c r="B309" s="59"/>
      <c r="C309" s="60"/>
      <c r="D309" s="61"/>
      <c r="E309" s="62"/>
      <c r="F309" s="61"/>
      <c r="G309" s="61"/>
      <c r="H309" s="75"/>
      <c r="I309" s="76"/>
      <c r="O309" s="69"/>
      <c r="P309" s="70">
        <v>217</v>
      </c>
      <c r="Q309" s="85">
        <v>16</v>
      </c>
      <c r="R309" s="70"/>
      <c r="S309" s="70"/>
      <c r="T309" s="70"/>
      <c r="U309" s="72"/>
      <c r="V309" s="73"/>
      <c r="W309" s="86"/>
      <c r="X309" s="77"/>
      <c r="Y309" s="87"/>
      <c r="AB309" s="59"/>
      <c r="AC309" s="60">
        <v>394</v>
      </c>
      <c r="AD309" s="61"/>
      <c r="AE309" s="62"/>
      <c r="AF309" s="61"/>
      <c r="AG309" s="61"/>
      <c r="AH309" s="75"/>
      <c r="AI309" s="76"/>
      <c r="AJ309" s="77"/>
      <c r="AK309" s="58"/>
      <c r="AL309" s="58"/>
      <c r="AO309" s="69"/>
      <c r="AP309" s="70"/>
      <c r="AQ309" s="71"/>
      <c r="AR309" s="70">
        <v>400</v>
      </c>
      <c r="AS309" s="70">
        <v>20</v>
      </c>
      <c r="AT309" s="70">
        <v>114.59</v>
      </c>
      <c r="AU309" s="72" t="s">
        <v>28</v>
      </c>
      <c r="AV309" s="73"/>
      <c r="AW309" s="77"/>
      <c r="AX309" s="80" t="s">
        <v>34</v>
      </c>
      <c r="AY309" s="81">
        <f>AY305/6</f>
        <v>115.575</v>
      </c>
      <c r="BB309" s="59"/>
      <c r="BC309" s="60"/>
      <c r="BD309" s="61"/>
      <c r="BE309" s="62"/>
      <c r="BF309" s="61"/>
      <c r="BG309" s="61"/>
      <c r="BH309" s="75"/>
      <c r="BI309" s="76"/>
    </row>
    <row r="310" spans="2:64">
      <c r="B310" s="96"/>
      <c r="C310" s="97"/>
      <c r="D310" s="98"/>
      <c r="E310" s="99"/>
      <c r="F310" s="98"/>
      <c r="G310" s="98"/>
      <c r="H310" s="72"/>
      <c r="I310" s="73"/>
      <c r="O310" s="59"/>
      <c r="P310" s="60"/>
      <c r="Q310" s="61"/>
      <c r="R310" s="62">
        <v>213</v>
      </c>
      <c r="S310" s="61">
        <v>21.3</v>
      </c>
      <c r="T310" s="61"/>
      <c r="U310" s="75"/>
      <c r="V310" s="76"/>
      <c r="W310" s="77"/>
      <c r="X310" s="58"/>
      <c r="Y310" s="58"/>
      <c r="AB310" s="69"/>
      <c r="AC310" s="70">
        <v>634</v>
      </c>
      <c r="AD310" s="71">
        <v>51</v>
      </c>
      <c r="AE310" s="70"/>
      <c r="AF310" s="70"/>
      <c r="AG310" s="70"/>
      <c r="AH310" s="72"/>
      <c r="AI310" s="73"/>
      <c r="AJ310" s="77"/>
      <c r="AK310" s="58"/>
      <c r="AL310" s="58"/>
      <c r="AO310" s="59"/>
      <c r="AP310" s="60"/>
      <c r="AQ310" s="61"/>
      <c r="AR310" s="62">
        <v>465</v>
      </c>
      <c r="AS310" s="61">
        <v>23</v>
      </c>
      <c r="AT310" s="61">
        <v>30</v>
      </c>
      <c r="AU310" s="75" t="s">
        <v>97</v>
      </c>
      <c r="AV310" s="84"/>
      <c r="AW310" s="77"/>
      <c r="AX310" s="82" t="s">
        <v>37</v>
      </c>
      <c r="AY310" s="83">
        <f>AY305/8</f>
        <v>86.68125</v>
      </c>
      <c r="BB310" s="96"/>
      <c r="BC310" s="97"/>
      <c r="BD310" s="98"/>
      <c r="BE310" s="99"/>
      <c r="BF310" s="98"/>
      <c r="BG310" s="98"/>
      <c r="BH310" s="72"/>
      <c r="BI310" s="73"/>
    </row>
    <row r="311" spans="2:64">
      <c r="B311" s="59"/>
      <c r="C311" s="60"/>
      <c r="D311" s="61"/>
      <c r="E311" s="62"/>
      <c r="F311" s="61"/>
      <c r="G311" s="61"/>
      <c r="H311" s="75"/>
      <c r="I311" s="76"/>
      <c r="O311" s="69"/>
      <c r="P311" s="70"/>
      <c r="Q311" s="71"/>
      <c r="R311" s="70">
        <v>472</v>
      </c>
      <c r="S311" s="70">
        <v>47.2</v>
      </c>
      <c r="T311" s="70"/>
      <c r="U311" s="72"/>
      <c r="V311" s="73"/>
      <c r="W311" s="77"/>
      <c r="X311" s="58"/>
      <c r="Y311" s="58"/>
      <c r="AB311" s="59"/>
      <c r="AC311" s="60">
        <v>455</v>
      </c>
      <c r="AD311" s="88">
        <v>45</v>
      </c>
      <c r="AE311" s="62"/>
      <c r="AF311" s="61"/>
      <c r="AG311" s="61"/>
      <c r="AH311" s="75"/>
      <c r="AI311" s="76"/>
      <c r="AJ311" s="77"/>
      <c r="AK311" s="58"/>
      <c r="AL311" s="58"/>
      <c r="AO311" s="69"/>
      <c r="AP311" s="70"/>
      <c r="AQ311" s="85"/>
      <c r="AR311" s="70">
        <v>848</v>
      </c>
      <c r="AS311" s="70">
        <v>42.4</v>
      </c>
      <c r="AT311" s="70">
        <v>300</v>
      </c>
      <c r="AU311" s="72" t="s">
        <v>143</v>
      </c>
      <c r="AV311" s="73"/>
      <c r="AW311" s="86"/>
      <c r="AX311" s="77"/>
      <c r="AY311" s="87"/>
      <c r="BB311" s="59"/>
      <c r="BC311" s="60"/>
      <c r="BD311" s="61"/>
      <c r="BE311" s="62"/>
      <c r="BF311" s="61"/>
      <c r="BG311" s="61"/>
      <c r="BH311" s="75"/>
      <c r="BI311" s="76"/>
    </row>
    <row r="312" ht="15.75" spans="2:64">
      <c r="B312" s="69"/>
      <c r="C312" s="112"/>
      <c r="D312" s="71"/>
      <c r="E312" s="58"/>
      <c r="F312" s="70"/>
      <c r="G312" s="70"/>
      <c r="H312" s="72"/>
      <c r="I312" s="73"/>
      <c r="O312" s="59"/>
      <c r="P312" s="60"/>
      <c r="Q312" s="88"/>
      <c r="R312" s="62">
        <v>173</v>
      </c>
      <c r="S312" s="61"/>
      <c r="T312" s="61"/>
      <c r="U312" s="75"/>
      <c r="V312" s="76"/>
      <c r="W312" s="77"/>
      <c r="X312" s="58"/>
      <c r="Y312" s="58"/>
      <c r="AB312" s="69"/>
      <c r="AC312" s="70"/>
      <c r="AD312" s="71"/>
      <c r="AE312" s="70">
        <v>379</v>
      </c>
      <c r="AF312" s="70">
        <v>37.9</v>
      </c>
      <c r="AG312" s="70"/>
      <c r="AH312" s="72"/>
      <c r="AI312" s="73"/>
      <c r="AJ312" s="89" t="s">
        <v>44</v>
      </c>
      <c r="AK312" s="90" t="s">
        <v>45</v>
      </c>
      <c r="AL312" s="90" t="s">
        <v>46</v>
      </c>
      <c r="AO312" s="59"/>
      <c r="AP312" s="60"/>
      <c r="AQ312" s="61"/>
      <c r="AR312" s="62">
        <v>613</v>
      </c>
      <c r="AS312" s="61">
        <v>61.3</v>
      </c>
      <c r="AT312" s="61">
        <v>36</v>
      </c>
      <c r="AU312" s="75" t="s">
        <v>191</v>
      </c>
      <c r="AV312" s="84"/>
      <c r="AW312" s="77"/>
      <c r="AX312" s="58"/>
      <c r="AY312" s="58"/>
      <c r="BB312" s="96"/>
      <c r="BC312" s="97"/>
      <c r="BD312" s="98"/>
      <c r="BE312" s="99"/>
      <c r="BF312" s="98"/>
      <c r="BG312" s="98"/>
      <c r="BH312" s="72"/>
      <c r="BI312" s="73"/>
    </row>
    <row r="313" ht="15.75" spans="2:64">
      <c r="B313" s="102">
        <f t="shared" ref="B313:G313" si="56">SUM(B289:B312)</f>
        <v>2831</v>
      </c>
      <c r="C313" s="103">
        <f t="shared" si="56"/>
        <v>3703</v>
      </c>
      <c r="D313" s="104">
        <f t="shared" si="56"/>
        <v>469</v>
      </c>
      <c r="E313" s="105">
        <f t="shared" si="56"/>
        <v>3482</v>
      </c>
      <c r="F313" s="106">
        <f t="shared" si="56"/>
        <v>251.1</v>
      </c>
      <c r="G313" s="107">
        <f t="shared" si="56"/>
        <v>1830</v>
      </c>
      <c r="H313" s="108" t="s">
        <v>54</v>
      </c>
      <c r="I313" s="109"/>
      <c r="O313" s="69"/>
      <c r="P313" s="70">
        <v>240</v>
      </c>
      <c r="Q313" s="71">
        <v>72</v>
      </c>
      <c r="R313" s="70"/>
      <c r="S313" s="70"/>
      <c r="T313" s="70"/>
      <c r="U313" s="72"/>
      <c r="V313" s="73"/>
      <c r="W313" s="89" t="s">
        <v>44</v>
      </c>
      <c r="X313" s="90" t="s">
        <v>45</v>
      </c>
      <c r="Y313" s="90" t="s">
        <v>46</v>
      </c>
      <c r="AB313" s="59"/>
      <c r="AC313" s="60"/>
      <c r="AD313" s="61"/>
      <c r="AE313" s="62">
        <v>826</v>
      </c>
      <c r="AF313" s="61">
        <v>82.6</v>
      </c>
      <c r="AG313" s="61"/>
      <c r="AH313" s="75"/>
      <c r="AI313" s="76"/>
      <c r="AJ313" s="92" t="s">
        <v>47</v>
      </c>
      <c r="AK313" s="93" t="s">
        <v>48</v>
      </c>
      <c r="AL313" s="93" t="s">
        <v>65</v>
      </c>
      <c r="AO313" s="69"/>
      <c r="AP313" s="70"/>
      <c r="AQ313" s="85"/>
      <c r="AR313" s="70">
        <v>615</v>
      </c>
      <c r="AS313" s="70"/>
      <c r="AT313" s="70">
        <v>30</v>
      </c>
      <c r="AU313" s="72" t="s">
        <v>29</v>
      </c>
      <c r="AV313" s="73"/>
      <c r="AW313" s="77"/>
      <c r="AX313" s="58"/>
      <c r="AY313" s="58"/>
      <c r="BB313" s="102">
        <f t="shared" ref="BB313:BG313" si="57">SUM(BB293:BB312)</f>
        <v>607</v>
      </c>
      <c r="BC313" s="103">
        <f t="shared" si="57"/>
        <v>970</v>
      </c>
      <c r="BD313" s="104">
        <f t="shared" si="57"/>
        <v>29</v>
      </c>
      <c r="BE313" s="105">
        <f t="shared" si="57"/>
        <v>1507</v>
      </c>
      <c r="BF313" s="106">
        <f t="shared" si="57"/>
        <v>150.7</v>
      </c>
      <c r="BG313" s="107">
        <f t="shared" si="57"/>
        <v>230</v>
      </c>
      <c r="BH313" s="108" t="s">
        <v>54</v>
      </c>
      <c r="BI313" s="109"/>
    </row>
    <row r="314" spans="2:64">
      <c r="O314" s="59"/>
      <c r="P314" s="60"/>
      <c r="Q314" s="61"/>
      <c r="R314" s="62">
        <v>120</v>
      </c>
      <c r="S314" s="61"/>
      <c r="T314" s="61"/>
      <c r="U314" s="75"/>
      <c r="V314" s="76"/>
      <c r="W314" s="92" t="s">
        <v>47</v>
      </c>
      <c r="X314" s="93" t="s">
        <v>48</v>
      </c>
      <c r="Y314" s="93" t="s">
        <v>66</v>
      </c>
      <c r="AB314" s="69"/>
      <c r="AC314" s="70"/>
      <c r="AD314" s="71"/>
      <c r="AE314" s="70">
        <v>532</v>
      </c>
      <c r="AF314" s="70">
        <v>53.2</v>
      </c>
      <c r="AG314" s="70"/>
      <c r="AH314" s="72"/>
      <c r="AI314" s="73"/>
      <c r="AJ314" s="94" t="s">
        <v>52</v>
      </c>
      <c r="AK314" s="95" t="s">
        <v>27</v>
      </c>
      <c r="AL314" s="95" t="s">
        <v>43</v>
      </c>
      <c r="AO314" s="59"/>
      <c r="AP314" s="60">
        <v>8</v>
      </c>
      <c r="AQ314" s="61"/>
      <c r="AR314" s="62"/>
      <c r="AS314" s="61"/>
      <c r="AT314" s="61"/>
      <c r="AU314" s="75"/>
      <c r="AV314" s="84"/>
      <c r="AW314" s="77"/>
      <c r="AX314" s="58"/>
      <c r="AY314" s="58"/>
    </row>
    <row r="315" ht="15.75" spans="2:64">
      <c r="O315" s="69"/>
      <c r="P315" s="70"/>
      <c r="Q315" s="71"/>
      <c r="R315" s="70">
        <v>634</v>
      </c>
      <c r="S315" s="70">
        <v>63.4</v>
      </c>
      <c r="T315" s="70"/>
      <c r="U315" s="72"/>
      <c r="V315" s="73"/>
      <c r="W315" s="94" t="s">
        <v>52</v>
      </c>
      <c r="X315" s="95" t="s">
        <v>27</v>
      </c>
      <c r="Y315" s="95" t="s">
        <v>65</v>
      </c>
      <c r="AB315" s="59"/>
      <c r="AC315" s="60">
        <v>220</v>
      </c>
      <c r="AD315" s="61">
        <v>20</v>
      </c>
      <c r="AE315" s="62"/>
      <c r="AF315" s="61"/>
      <c r="AG315" s="61"/>
      <c r="AH315" s="75"/>
      <c r="AI315" s="76"/>
      <c r="AJ315" s="77"/>
      <c r="AK315" s="77"/>
      <c r="AL315" s="87"/>
      <c r="AO315" s="69"/>
      <c r="AP315" s="70"/>
      <c r="AQ315" s="85">
        <v>150</v>
      </c>
      <c r="AR315" s="70">
        <v>1296</v>
      </c>
      <c r="AS315" s="70"/>
      <c r="AT315" s="70"/>
      <c r="AU315" s="72"/>
      <c r="AV315" s="73"/>
      <c r="AW315" s="89" t="s">
        <v>44</v>
      </c>
      <c r="AX315" s="90" t="s">
        <v>45</v>
      </c>
      <c r="AY315" s="90" t="s">
        <v>46</v>
      </c>
    </row>
    <row r="316" ht="19" customHeight="1" spans="2:64">
      <c r="B316" s="33" t="s">
        <v>192</v>
      </c>
      <c r="C316" s="34"/>
      <c r="D316" s="34"/>
      <c r="E316" s="34"/>
      <c r="F316" s="34"/>
      <c r="G316" s="34"/>
      <c r="H316" s="34"/>
      <c r="I316" s="34"/>
      <c r="J316" s="34"/>
      <c r="K316" s="34"/>
      <c r="L316" s="35"/>
      <c r="O316" s="59"/>
      <c r="P316" s="60"/>
      <c r="Q316" s="61"/>
      <c r="R316" s="62">
        <v>514</v>
      </c>
      <c r="S316" s="61">
        <v>51.4</v>
      </c>
      <c r="T316" s="61"/>
      <c r="U316" s="75"/>
      <c r="V316" s="76"/>
      <c r="W316" s="77"/>
      <c r="X316" s="77"/>
      <c r="Y316" s="87"/>
      <c r="AA316" s="117"/>
      <c r="AB316" s="69"/>
      <c r="AC316" s="70"/>
      <c r="AD316" s="71"/>
      <c r="AE316" s="70">
        <v>573</v>
      </c>
      <c r="AF316" s="70">
        <v>85.95</v>
      </c>
      <c r="AG316" s="70"/>
      <c r="AH316" s="72"/>
      <c r="AI316" s="73"/>
      <c r="AJ316" s="58"/>
      <c r="AK316" s="58"/>
      <c r="AL316" s="58"/>
      <c r="AO316" s="59"/>
      <c r="AP316" s="60">
        <v>473</v>
      </c>
      <c r="AQ316" s="61">
        <v>47</v>
      </c>
      <c r="AR316" s="62"/>
      <c r="AS316" s="61"/>
      <c r="AT316" s="61"/>
      <c r="AU316" s="75"/>
      <c r="AV316" s="84"/>
      <c r="AW316" s="92" t="s">
        <v>47</v>
      </c>
      <c r="AX316" s="93" t="s">
        <v>51</v>
      </c>
      <c r="AY316" s="93" t="s">
        <v>43</v>
      </c>
    </row>
    <row r="317" ht="15.75" spans="2:64">
      <c r="B317" s="36"/>
      <c r="C317" s="37"/>
      <c r="D317" s="37"/>
      <c r="E317" s="37"/>
      <c r="F317" s="37"/>
      <c r="G317" s="37"/>
      <c r="H317" s="37"/>
      <c r="I317" s="37"/>
      <c r="J317" s="37"/>
      <c r="K317" s="37"/>
      <c r="L317" s="38"/>
      <c r="O317" s="69"/>
      <c r="P317" s="70">
        <v>178</v>
      </c>
      <c r="Q317" s="71">
        <v>12</v>
      </c>
      <c r="R317" s="70"/>
      <c r="S317" s="70"/>
      <c r="T317" s="70"/>
      <c r="U317" s="72"/>
      <c r="V317" s="73"/>
      <c r="W317" s="58"/>
      <c r="X317" s="58"/>
      <c r="Y317" s="58"/>
      <c r="AA317" s="117"/>
      <c r="AB317" s="59"/>
      <c r="AC317" s="60">
        <v>235</v>
      </c>
      <c r="AD317" s="61">
        <v>65</v>
      </c>
      <c r="AE317" s="62"/>
      <c r="AF317" s="61"/>
      <c r="AG317" s="61"/>
      <c r="AH317" s="75"/>
      <c r="AI317" s="76"/>
      <c r="AJ317" s="58"/>
      <c r="AK317" s="58"/>
      <c r="AL317" s="58"/>
      <c r="AO317" s="69"/>
      <c r="AP317" s="70"/>
      <c r="AQ317" s="85"/>
      <c r="AR317" s="70">
        <v>643</v>
      </c>
      <c r="AS317" s="70">
        <v>64.3</v>
      </c>
      <c r="AT317" s="70"/>
      <c r="AU317" s="72"/>
      <c r="AV317" s="73"/>
      <c r="AW317" s="94" t="s">
        <v>52</v>
      </c>
      <c r="AX317" s="95" t="s">
        <v>27</v>
      </c>
      <c r="AY317" s="95" t="s">
        <v>67</v>
      </c>
      <c r="BB317" s="33" t="s">
        <v>193</v>
      </c>
      <c r="BC317" s="34"/>
      <c r="BD317" s="34"/>
      <c r="BE317" s="34"/>
      <c r="BF317" s="34"/>
      <c r="BG317" s="34"/>
      <c r="BH317" s="34"/>
      <c r="BI317" s="34"/>
      <c r="BJ317" s="34"/>
      <c r="BK317" s="34"/>
      <c r="BL317" s="35"/>
    </row>
    <row r="318" ht="15.75" spans="2:64">
      <c r="B318" s="39" t="s">
        <v>12</v>
      </c>
      <c r="C318" s="40" t="s">
        <v>13</v>
      </c>
      <c r="D318" s="41"/>
      <c r="E318" s="42" t="s">
        <v>14</v>
      </c>
      <c r="F318" s="43"/>
      <c r="G318" s="44" t="s">
        <v>15</v>
      </c>
      <c r="H318" s="45"/>
      <c r="I318" s="46"/>
      <c r="J318" s="47" t="s">
        <v>16</v>
      </c>
      <c r="K318" s="48"/>
      <c r="L318" s="49">
        <f>C347+E347</f>
        <v>12680.8</v>
      </c>
      <c r="O318" s="59"/>
      <c r="P318" s="60"/>
      <c r="Q318" s="61"/>
      <c r="R318" s="62">
        <v>557</v>
      </c>
      <c r="S318" s="61">
        <v>55.7</v>
      </c>
      <c r="T318" s="61"/>
      <c r="U318" s="75"/>
      <c r="V318" s="76"/>
      <c r="W318" s="58"/>
      <c r="X318" s="58"/>
      <c r="Y318" s="58"/>
      <c r="AB318" s="69"/>
      <c r="AC318" s="71">
        <v>650</v>
      </c>
      <c r="AD318" s="71">
        <v>50</v>
      </c>
      <c r="AE318" s="70"/>
      <c r="AF318" s="70"/>
      <c r="AG318" s="70"/>
      <c r="AH318" s="72"/>
      <c r="AI318" s="73"/>
      <c r="AJ318" s="58"/>
      <c r="AK318" s="58"/>
      <c r="AL318" s="58"/>
      <c r="AO318" s="59"/>
      <c r="AP318" s="60"/>
      <c r="AQ318" s="61"/>
      <c r="AR318" s="62">
        <v>163</v>
      </c>
      <c r="AS318" s="61"/>
      <c r="AT318" s="61"/>
      <c r="AU318" s="75"/>
      <c r="AV318" s="84"/>
      <c r="AW318" s="77"/>
      <c r="AX318" s="77"/>
      <c r="AY318" s="87"/>
      <c r="BB318" s="36"/>
      <c r="BC318" s="37"/>
      <c r="BD318" s="37"/>
      <c r="BE318" s="37"/>
      <c r="BF318" s="37"/>
      <c r="BG318" s="37"/>
      <c r="BH318" s="37"/>
      <c r="BI318" s="37"/>
      <c r="BJ318" s="37"/>
      <c r="BK318" s="37"/>
      <c r="BL318" s="38"/>
    </row>
    <row r="319" ht="15.75" spans="2:64">
      <c r="B319" s="50"/>
      <c r="C319" s="51" t="s">
        <v>17</v>
      </c>
      <c r="D319" s="51" t="s">
        <v>18</v>
      </c>
      <c r="E319" s="52" t="s">
        <v>17</v>
      </c>
      <c r="F319" s="52" t="s">
        <v>18</v>
      </c>
      <c r="G319" s="53"/>
      <c r="H319" s="54"/>
      <c r="I319" s="55"/>
      <c r="J319" s="56" t="s">
        <v>19</v>
      </c>
      <c r="K319" s="57"/>
      <c r="L319" s="49">
        <f>D347+F347</f>
        <v>1255.5</v>
      </c>
      <c r="O319" s="69"/>
      <c r="P319" s="71">
        <v>280</v>
      </c>
      <c r="Q319" s="71">
        <v>45</v>
      </c>
      <c r="R319" s="70"/>
      <c r="S319" s="70"/>
      <c r="T319" s="70"/>
      <c r="U319" s="72"/>
      <c r="V319" s="73"/>
      <c r="W319" s="58"/>
      <c r="X319" s="58"/>
      <c r="Y319" s="58"/>
      <c r="AB319" s="59"/>
      <c r="AC319" s="61"/>
      <c r="AD319" s="61"/>
      <c r="AE319" s="62"/>
      <c r="AF319" s="61"/>
      <c r="AG319" s="61"/>
      <c r="AH319" s="75"/>
      <c r="AI319" s="76"/>
      <c r="AJ319" s="58"/>
      <c r="AK319" s="58"/>
      <c r="AL319" s="58"/>
      <c r="AO319" s="69"/>
      <c r="AP319" s="70">
        <v>305</v>
      </c>
      <c r="AQ319" s="85">
        <v>45</v>
      </c>
      <c r="AR319" s="70"/>
      <c r="AS319" s="70"/>
      <c r="AT319" s="70"/>
      <c r="AU319" s="72"/>
      <c r="AV319" s="73"/>
      <c r="AW319" s="58"/>
      <c r="AX319" s="58"/>
      <c r="AY319" s="58"/>
      <c r="BB319" s="39" t="s">
        <v>12</v>
      </c>
      <c r="BC319" s="40" t="s">
        <v>13</v>
      </c>
      <c r="BD319" s="41"/>
      <c r="BE319" s="42" t="s">
        <v>14</v>
      </c>
      <c r="BF319" s="43"/>
      <c r="BG319" s="44" t="s">
        <v>15</v>
      </c>
      <c r="BH319" s="45"/>
      <c r="BI319" s="46"/>
      <c r="BJ319" s="47" t="s">
        <v>16</v>
      </c>
      <c r="BK319" s="48"/>
      <c r="BL319" s="49">
        <f>BC341+BE341</f>
        <v>4318</v>
      </c>
    </row>
    <row r="320" ht="15.75" spans="2:64">
      <c r="B320" s="59">
        <v>754</v>
      </c>
      <c r="C320" s="60"/>
      <c r="D320" s="61"/>
      <c r="E320" s="62">
        <v>72.8</v>
      </c>
      <c r="F320" s="61"/>
      <c r="G320" s="61">
        <v>30</v>
      </c>
      <c r="H320" s="63" t="s">
        <v>29</v>
      </c>
      <c r="I320" s="64"/>
      <c r="J320" s="65" t="s">
        <v>21</v>
      </c>
      <c r="K320" s="66"/>
      <c r="L320" s="67">
        <f>G347</f>
        <v>297</v>
      </c>
      <c r="O320" s="59"/>
      <c r="P320" s="61"/>
      <c r="Q320" s="61"/>
      <c r="R320" s="62"/>
      <c r="S320" s="61"/>
      <c r="T320" s="61"/>
      <c r="U320" s="75"/>
      <c r="V320" s="76"/>
      <c r="W320" s="58"/>
      <c r="X320" s="58"/>
      <c r="Y320" s="58"/>
      <c r="AB320" s="59"/>
      <c r="AC320" s="60"/>
      <c r="AD320" s="61"/>
      <c r="AE320" s="62"/>
      <c r="AF320" s="61"/>
      <c r="AG320" s="61"/>
      <c r="AH320" s="75"/>
      <c r="AI320" s="76"/>
      <c r="AJ320" s="58"/>
      <c r="AO320" s="59"/>
      <c r="AP320" s="60">
        <v>202</v>
      </c>
      <c r="AQ320" s="61">
        <v>28</v>
      </c>
      <c r="AR320" s="62"/>
      <c r="AS320" s="61"/>
      <c r="AT320" s="61"/>
      <c r="AU320" s="75"/>
      <c r="AV320" s="84"/>
      <c r="AW320" s="58"/>
      <c r="AX320" s="58"/>
      <c r="AY320" s="58"/>
      <c r="BB320" s="50"/>
      <c r="BC320" s="51" t="s">
        <v>17</v>
      </c>
      <c r="BD320" s="51" t="s">
        <v>18</v>
      </c>
      <c r="BE320" s="52" t="s">
        <v>17</v>
      </c>
      <c r="BF320" s="52" t="s">
        <v>18</v>
      </c>
      <c r="BG320" s="53"/>
      <c r="BH320" s="54"/>
      <c r="BI320" s="55"/>
      <c r="BJ320" s="56" t="s">
        <v>19</v>
      </c>
      <c r="BK320" s="57"/>
      <c r="BL320" s="49">
        <f>BD341+BF341</f>
        <v>376.95</v>
      </c>
    </row>
    <row r="321" ht="15.75" spans="2:64">
      <c r="B321" s="69"/>
      <c r="C321" s="70"/>
      <c r="D321" s="71"/>
      <c r="E321" s="70">
        <v>395</v>
      </c>
      <c r="F321" s="70">
        <v>39.5</v>
      </c>
      <c r="G321" s="70">
        <v>70</v>
      </c>
      <c r="H321" s="72" t="s">
        <v>194</v>
      </c>
      <c r="I321" s="73"/>
      <c r="J321" s="74" t="s">
        <v>26</v>
      </c>
      <c r="K321" s="57"/>
      <c r="L321" s="49">
        <f>B347+L318+L319-L320-E347-F347</f>
        <v>7096</v>
      </c>
      <c r="O321" s="69"/>
      <c r="P321" s="71"/>
      <c r="Q321" s="71"/>
      <c r="R321" s="70"/>
      <c r="S321" s="70"/>
      <c r="T321" s="70"/>
      <c r="U321" s="72"/>
      <c r="V321" s="73"/>
      <c r="W321" s="58"/>
      <c r="X321" s="58"/>
      <c r="Y321" s="58"/>
      <c r="AB321" s="69"/>
      <c r="AC321" s="112"/>
      <c r="AD321" s="71"/>
      <c r="AE321" s="58"/>
      <c r="AF321" s="70"/>
      <c r="AG321" s="70"/>
      <c r="AH321" s="72"/>
      <c r="AI321" s="73"/>
      <c r="AO321" s="69"/>
      <c r="AP321" s="70"/>
      <c r="AQ321" s="85"/>
      <c r="AR321" s="70">
        <v>1359</v>
      </c>
      <c r="AS321" s="70">
        <v>67.95</v>
      </c>
      <c r="AT321" s="70"/>
      <c r="AU321" s="72"/>
      <c r="AV321" s="73"/>
      <c r="AW321" s="58"/>
      <c r="AX321" s="58"/>
      <c r="AY321" s="58"/>
      <c r="BB321" s="59">
        <v>536</v>
      </c>
      <c r="BC321" s="68"/>
      <c r="BD321" s="61"/>
      <c r="BE321" s="62">
        <v>208</v>
      </c>
      <c r="BF321" s="61"/>
      <c r="BG321" s="61">
        <v>200</v>
      </c>
      <c r="BH321" s="63" t="s">
        <v>86</v>
      </c>
      <c r="BI321" s="64"/>
      <c r="BJ321" s="65" t="s">
        <v>21</v>
      </c>
      <c r="BK321" s="66"/>
      <c r="BL321" s="67">
        <f>BG341</f>
        <v>388</v>
      </c>
    </row>
    <row r="322" ht="15.75" spans="2:64">
      <c r="B322" s="59"/>
      <c r="C322" s="60">
        <v>503</v>
      </c>
      <c r="D322" s="61">
        <v>47</v>
      </c>
      <c r="E322" s="62"/>
      <c r="F322" s="61"/>
      <c r="G322" s="61">
        <v>103</v>
      </c>
      <c r="H322" s="75" t="s">
        <v>195</v>
      </c>
      <c r="I322" s="76"/>
      <c r="J322" s="77"/>
      <c r="K322" s="78" t="s">
        <v>30</v>
      </c>
      <c r="L322" s="79">
        <f>L319/4</f>
        <v>313.875</v>
      </c>
      <c r="O322" s="59"/>
      <c r="P322" s="61"/>
      <c r="Q322" s="61"/>
      <c r="R322" s="62"/>
      <c r="S322" s="61"/>
      <c r="T322" s="61"/>
      <c r="U322" s="75"/>
      <c r="V322" s="76"/>
      <c r="W322" s="58"/>
      <c r="X322" s="58"/>
      <c r="Y322" s="58"/>
      <c r="AB322" s="59"/>
      <c r="AC322" s="60"/>
      <c r="AD322" s="61"/>
      <c r="AE322" s="62"/>
      <c r="AF322" s="61"/>
      <c r="AG322" s="61"/>
      <c r="AH322" s="75"/>
      <c r="AI322" s="76"/>
      <c r="AO322" s="59"/>
      <c r="AP322" s="60">
        <v>257</v>
      </c>
      <c r="AQ322" s="61"/>
      <c r="AR322" s="62"/>
      <c r="AS322" s="61"/>
      <c r="AT322" s="61"/>
      <c r="AU322" s="75"/>
      <c r="AV322" s="84"/>
      <c r="AW322" s="58"/>
      <c r="AX322" s="58"/>
      <c r="AY322" s="58"/>
      <c r="BB322" s="69"/>
      <c r="BC322" s="70"/>
      <c r="BD322" s="71"/>
      <c r="BE322" s="70">
        <v>430</v>
      </c>
      <c r="BF322" s="70">
        <v>43</v>
      </c>
      <c r="BG322" s="70">
        <v>100</v>
      </c>
      <c r="BH322" s="72" t="s">
        <v>63</v>
      </c>
      <c r="BI322" s="73"/>
      <c r="BJ322" s="74" t="s">
        <v>26</v>
      </c>
      <c r="BK322" s="57"/>
      <c r="BL322" s="49">
        <f>BB341+BL319+BL320-BL321-BE341-BF341</f>
        <v>2680</v>
      </c>
    </row>
    <row r="323" spans="2:64">
      <c r="B323" s="69"/>
      <c r="C323" s="70"/>
      <c r="D323" s="71"/>
      <c r="E323" s="70">
        <v>714</v>
      </c>
      <c r="F323" s="70">
        <v>71.4</v>
      </c>
      <c r="G323" s="70">
        <v>94</v>
      </c>
      <c r="H323" s="72" t="s">
        <v>36</v>
      </c>
      <c r="I323" s="73"/>
      <c r="J323" s="77"/>
      <c r="K323" s="80" t="s">
        <v>34</v>
      </c>
      <c r="L323" s="81">
        <f>L319/6</f>
        <v>209.25</v>
      </c>
      <c r="O323" s="69"/>
      <c r="P323" s="71"/>
      <c r="Q323" s="71"/>
      <c r="R323" s="70"/>
      <c r="S323" s="70"/>
      <c r="T323" s="70"/>
      <c r="U323" s="72"/>
      <c r="V323" s="73"/>
      <c r="W323" s="58"/>
      <c r="AB323" s="96"/>
      <c r="AC323" s="97"/>
      <c r="AD323" s="98"/>
      <c r="AE323" s="99"/>
      <c r="AF323" s="98"/>
      <c r="AG323" s="98"/>
      <c r="AH323" s="72"/>
      <c r="AI323" s="73"/>
      <c r="AO323" s="69"/>
      <c r="AP323" s="70">
        <v>148</v>
      </c>
      <c r="AQ323" s="85">
        <v>15</v>
      </c>
      <c r="AR323" s="70"/>
      <c r="AS323" s="70"/>
      <c r="AT323" s="70"/>
      <c r="AU323" s="72"/>
      <c r="AV323" s="73"/>
      <c r="AW323" s="58"/>
      <c r="AX323" s="58"/>
      <c r="AY323" s="58"/>
      <c r="BB323" s="59"/>
      <c r="BC323" s="60">
        <v>1009</v>
      </c>
      <c r="BD323" s="61">
        <v>56</v>
      </c>
      <c r="BE323" s="62"/>
      <c r="BF323" s="61"/>
      <c r="BG323" s="61">
        <v>8</v>
      </c>
      <c r="BH323" s="75" t="s">
        <v>64</v>
      </c>
      <c r="BI323" s="76"/>
      <c r="BJ323" s="77"/>
      <c r="BK323" s="78" t="s">
        <v>30</v>
      </c>
      <c r="BL323" s="79">
        <f>BL320/4</f>
        <v>94.2375</v>
      </c>
    </row>
    <row r="324" spans="2:64">
      <c r="B324" s="59"/>
      <c r="C324" s="60">
        <v>550</v>
      </c>
      <c r="D324" s="61">
        <v>36</v>
      </c>
      <c r="E324" s="62"/>
      <c r="F324" s="61"/>
      <c r="G324" s="61"/>
      <c r="H324" s="75"/>
      <c r="I324" s="76"/>
      <c r="J324" s="77"/>
      <c r="K324" s="82" t="s">
        <v>37</v>
      </c>
      <c r="L324" s="83">
        <f>L319/8</f>
        <v>156.9375</v>
      </c>
      <c r="O324" s="59"/>
      <c r="P324" s="60"/>
      <c r="Q324" s="61"/>
      <c r="R324" s="62"/>
      <c r="S324" s="61"/>
      <c r="T324" s="61"/>
      <c r="U324" s="75"/>
      <c r="V324" s="76"/>
      <c r="AB324" s="59"/>
      <c r="AC324" s="60"/>
      <c r="AD324" s="61"/>
      <c r="AE324" s="62"/>
      <c r="AF324" s="61"/>
      <c r="AG324" s="61"/>
      <c r="AH324" s="75"/>
      <c r="AI324" s="76"/>
      <c r="AO324" s="59"/>
      <c r="AP324" s="60"/>
      <c r="AQ324" s="61"/>
      <c r="AR324" s="62"/>
      <c r="AS324" s="61"/>
      <c r="AT324" s="61"/>
      <c r="AU324" s="75"/>
      <c r="AV324" s="84"/>
      <c r="AW324" s="58"/>
      <c r="AX324" s="58"/>
      <c r="AY324" s="58"/>
      <c r="BB324" s="69"/>
      <c r="BC324" s="70">
        <v>832</v>
      </c>
      <c r="BD324" s="71">
        <v>70</v>
      </c>
      <c r="BE324" s="70"/>
      <c r="BF324" s="70"/>
      <c r="BG324" s="70">
        <v>30</v>
      </c>
      <c r="BH324" s="72" t="s">
        <v>29</v>
      </c>
      <c r="BI324" s="73"/>
      <c r="BJ324" s="77"/>
      <c r="BK324" s="80" t="s">
        <v>34</v>
      </c>
      <c r="BL324" s="81">
        <f>BL320/6</f>
        <v>62.825</v>
      </c>
    </row>
    <row r="325" ht="15.75" spans="2:64">
      <c r="B325" s="69"/>
      <c r="C325" s="70">
        <v>365</v>
      </c>
      <c r="D325" s="85">
        <v>30</v>
      </c>
      <c r="E325" s="70"/>
      <c r="F325" s="70"/>
      <c r="G325" s="70"/>
      <c r="H325" s="72"/>
      <c r="I325" s="73"/>
      <c r="J325" s="86"/>
      <c r="K325" s="77"/>
      <c r="L325" s="87"/>
      <c r="O325" s="96"/>
      <c r="P325" s="97"/>
      <c r="Q325" s="98"/>
      <c r="R325" s="99"/>
      <c r="S325" s="98"/>
      <c r="T325" s="98"/>
      <c r="U325" s="100"/>
      <c r="V325" s="101"/>
      <c r="AB325" s="96"/>
      <c r="AC325" s="97"/>
      <c r="AD325" s="98"/>
      <c r="AE325" s="99"/>
      <c r="AF325" s="98"/>
      <c r="AG325" s="98"/>
      <c r="AH325" s="114"/>
      <c r="AI325" s="115"/>
      <c r="AO325" s="69"/>
      <c r="AP325" s="70"/>
      <c r="AQ325" s="85"/>
      <c r="AR325" s="70"/>
      <c r="AS325" s="70"/>
      <c r="AT325" s="70"/>
      <c r="AU325" s="72"/>
      <c r="AV325" s="73"/>
      <c r="AW325" s="58"/>
      <c r="BB325" s="59"/>
      <c r="BC325" s="60"/>
      <c r="BD325" s="61"/>
      <c r="BE325" s="62">
        <v>176</v>
      </c>
      <c r="BF325" s="61"/>
      <c r="BG325" s="61">
        <v>20</v>
      </c>
      <c r="BH325" s="75" t="s">
        <v>97</v>
      </c>
      <c r="BI325" s="84"/>
      <c r="BJ325" s="77"/>
      <c r="BK325" s="82" t="s">
        <v>37</v>
      </c>
      <c r="BL325" s="83">
        <f>BL320/8</f>
        <v>47.11875</v>
      </c>
    </row>
    <row r="326" ht="15.75" spans="2:64">
      <c r="B326" s="59"/>
      <c r="C326" s="60"/>
      <c r="D326" s="61"/>
      <c r="E326" s="62">
        <v>313</v>
      </c>
      <c r="F326" s="61">
        <v>31.3</v>
      </c>
      <c r="G326" s="61"/>
      <c r="H326" s="75"/>
      <c r="I326" s="76"/>
      <c r="J326" s="77"/>
      <c r="K326" s="58"/>
      <c r="L326" s="58"/>
      <c r="O326" s="102">
        <f t="shared" ref="O326:T326" si="58">SUM(O304:O325)</f>
        <v>1404</v>
      </c>
      <c r="P326" s="103">
        <f t="shared" si="58"/>
        <v>1637</v>
      </c>
      <c r="Q326" s="104">
        <f t="shared" si="58"/>
        <v>190</v>
      </c>
      <c r="R326" s="105">
        <f t="shared" si="58"/>
        <v>3413</v>
      </c>
      <c r="S326" s="106">
        <f t="shared" si="58"/>
        <v>273</v>
      </c>
      <c r="T326" s="107">
        <f t="shared" si="58"/>
        <v>2733</v>
      </c>
      <c r="U326" s="108" t="s">
        <v>54</v>
      </c>
      <c r="V326" s="109"/>
      <c r="AB326" s="96"/>
      <c r="AC326" s="97"/>
      <c r="AD326" s="98"/>
      <c r="AE326" s="99"/>
      <c r="AF326" s="98"/>
      <c r="AG326" s="98"/>
      <c r="AH326" s="100"/>
      <c r="AI326" s="101"/>
      <c r="AO326" s="59"/>
      <c r="AP326" s="60"/>
      <c r="AQ326" s="61"/>
      <c r="AR326" s="62"/>
      <c r="AS326" s="61"/>
      <c r="AT326" s="61"/>
      <c r="AU326" s="75"/>
      <c r="AV326" s="84"/>
      <c r="AW326" s="58"/>
      <c r="BB326" s="69"/>
      <c r="BC326" s="70"/>
      <c r="BD326" s="85">
        <v>19</v>
      </c>
      <c r="BE326" s="70">
        <v>230</v>
      </c>
      <c r="BF326" s="70"/>
      <c r="BG326" s="70">
        <v>30</v>
      </c>
      <c r="BH326" s="72" t="s">
        <v>99</v>
      </c>
      <c r="BI326" s="73"/>
      <c r="BJ326" s="86"/>
      <c r="BK326" s="77"/>
      <c r="BL326" s="87"/>
    </row>
    <row r="327" ht="15.75" spans="2:64">
      <c r="B327" s="69"/>
      <c r="C327" s="70">
        <v>268</v>
      </c>
      <c r="D327" s="71">
        <v>32</v>
      </c>
      <c r="E327" s="70"/>
      <c r="F327" s="70"/>
      <c r="G327" s="70"/>
      <c r="H327" s="72"/>
      <c r="I327" s="73"/>
      <c r="J327" s="77"/>
      <c r="K327" s="58"/>
      <c r="L327" s="58"/>
      <c r="AB327" s="102">
        <f t="shared" ref="AB327:AG327" si="59">SUM(AB303:AB326)</f>
        <v>1595</v>
      </c>
      <c r="AC327" s="103">
        <f t="shared" si="59"/>
        <v>3506</v>
      </c>
      <c r="AD327" s="104">
        <f t="shared" si="59"/>
        <v>281</v>
      </c>
      <c r="AE327" s="105">
        <f t="shared" si="59"/>
        <v>3004</v>
      </c>
      <c r="AF327" s="106">
        <f t="shared" si="59"/>
        <v>285.05</v>
      </c>
      <c r="AG327" s="107">
        <f t="shared" si="59"/>
        <v>1170</v>
      </c>
      <c r="AH327" s="108" t="s">
        <v>54</v>
      </c>
      <c r="AI327" s="109"/>
      <c r="AO327" s="96"/>
      <c r="AP327" s="97"/>
      <c r="AQ327" s="98"/>
      <c r="AR327" s="99"/>
      <c r="AS327" s="98"/>
      <c r="AT327" s="98"/>
      <c r="AU327" s="72"/>
      <c r="AV327" s="73"/>
      <c r="BB327" s="59"/>
      <c r="BC327" s="60">
        <v>170</v>
      </c>
      <c r="BD327" s="61">
        <v>45</v>
      </c>
      <c r="BE327" s="62"/>
      <c r="BF327" s="61"/>
      <c r="BG327" s="61"/>
      <c r="BH327" s="75"/>
      <c r="BI327" s="84"/>
      <c r="BJ327" s="77"/>
      <c r="BK327" s="58"/>
      <c r="BL327" s="58"/>
    </row>
    <row r="328" ht="15.75" spans="2:64">
      <c r="B328" s="59"/>
      <c r="C328" s="60">
        <v>456</v>
      </c>
      <c r="D328" s="88">
        <v>44</v>
      </c>
      <c r="E328" s="62"/>
      <c r="F328" s="61"/>
      <c r="G328" s="61"/>
      <c r="H328" s="75"/>
      <c r="I328" s="76"/>
      <c r="J328" s="77"/>
      <c r="K328" s="58"/>
      <c r="L328" s="58"/>
      <c r="AO328" s="59"/>
      <c r="AP328" s="60"/>
      <c r="AQ328" s="61"/>
      <c r="AR328" s="62"/>
      <c r="AS328" s="61"/>
      <c r="AT328" s="61"/>
      <c r="AU328" s="75"/>
      <c r="AV328" s="76"/>
      <c r="BB328" s="69"/>
      <c r="BC328" s="70">
        <v>127</v>
      </c>
      <c r="BD328" s="85"/>
      <c r="BE328" s="70"/>
      <c r="BF328" s="70"/>
      <c r="BG328" s="70"/>
      <c r="BH328" s="72"/>
      <c r="BI328" s="73"/>
      <c r="BJ328" s="77"/>
      <c r="BK328" s="58"/>
      <c r="BL328" s="58"/>
    </row>
    <row r="329" ht="15.75" spans="2:64">
      <c r="B329" s="69"/>
      <c r="C329" s="70">
        <v>416</v>
      </c>
      <c r="D329" s="71">
        <v>50</v>
      </c>
      <c r="E329" s="70"/>
      <c r="F329" s="70"/>
      <c r="G329" s="70"/>
      <c r="H329" s="72"/>
      <c r="I329" s="73"/>
      <c r="J329" s="89" t="s">
        <v>44</v>
      </c>
      <c r="K329" s="90" t="s">
        <v>45</v>
      </c>
      <c r="L329" s="90" t="s">
        <v>46</v>
      </c>
      <c r="O329" s="33" t="s">
        <v>196</v>
      </c>
      <c r="P329" s="34"/>
      <c r="Q329" s="34"/>
      <c r="R329" s="34"/>
      <c r="S329" s="34"/>
      <c r="T329" s="34"/>
      <c r="U329" s="34"/>
      <c r="V329" s="34"/>
      <c r="W329" s="34"/>
      <c r="X329" s="34"/>
      <c r="Y329" s="35"/>
      <c r="AO329" s="96"/>
      <c r="AP329" s="97"/>
      <c r="AQ329" s="98"/>
      <c r="AR329" s="99"/>
      <c r="AS329" s="98"/>
      <c r="AT329" s="98"/>
      <c r="AU329" s="72"/>
      <c r="AV329" s="73"/>
      <c r="BB329" s="59"/>
      <c r="BC329" s="60"/>
      <c r="BD329" s="61"/>
      <c r="BE329" s="62">
        <v>693</v>
      </c>
      <c r="BF329" s="61">
        <v>103.95</v>
      </c>
      <c r="BG329" s="61"/>
      <c r="BH329" s="75"/>
      <c r="BI329" s="84"/>
      <c r="BJ329" s="77"/>
      <c r="BK329" s="58"/>
      <c r="BL329" s="58"/>
    </row>
    <row r="330" ht="15.75" spans="2:64">
      <c r="B330" s="59"/>
      <c r="C330" s="60"/>
      <c r="D330" s="61"/>
      <c r="E330" s="62">
        <v>215</v>
      </c>
      <c r="F330" s="61">
        <v>21.5</v>
      </c>
      <c r="G330" s="61"/>
      <c r="H330" s="75"/>
      <c r="I330" s="76"/>
      <c r="J330" s="92" t="s">
        <v>47</v>
      </c>
      <c r="K330" s="93" t="s">
        <v>174</v>
      </c>
      <c r="L330" s="93" t="s">
        <v>96</v>
      </c>
      <c r="O330" s="36"/>
      <c r="P330" s="37"/>
      <c r="Q330" s="37"/>
      <c r="R330" s="37"/>
      <c r="S330" s="37"/>
      <c r="T330" s="37"/>
      <c r="U330" s="37"/>
      <c r="V330" s="37"/>
      <c r="W330" s="37"/>
      <c r="X330" s="37"/>
      <c r="Y330" s="38"/>
      <c r="AB330" s="33" t="s">
        <v>197</v>
      </c>
      <c r="AC330" s="34"/>
      <c r="AD330" s="34"/>
      <c r="AE330" s="34"/>
      <c r="AF330" s="34"/>
      <c r="AG330" s="34"/>
      <c r="AH330" s="34"/>
      <c r="AI330" s="34"/>
      <c r="AJ330" s="34"/>
      <c r="AK330" s="34"/>
      <c r="AL330" s="35"/>
      <c r="AO330" s="59"/>
      <c r="AP330" s="60"/>
      <c r="AQ330" s="61"/>
      <c r="AR330" s="62"/>
      <c r="AS330" s="61"/>
      <c r="AT330" s="61"/>
      <c r="AU330" s="75"/>
      <c r="AV330" s="76"/>
      <c r="BB330" s="69"/>
      <c r="BC330" s="70"/>
      <c r="BD330" s="85"/>
      <c r="BE330" s="70">
        <v>279</v>
      </c>
      <c r="BF330" s="70"/>
      <c r="BG330" s="70"/>
      <c r="BH330" s="72"/>
      <c r="BI330" s="73"/>
      <c r="BJ330" s="89" t="s">
        <v>44</v>
      </c>
      <c r="BK330" s="90" t="s">
        <v>45</v>
      </c>
      <c r="BL330" s="90" t="s">
        <v>46</v>
      </c>
    </row>
    <row r="331" ht="15.75" spans="2:64">
      <c r="B331" s="69"/>
      <c r="C331" s="70"/>
      <c r="D331" s="71"/>
      <c r="E331" s="70">
        <v>791</v>
      </c>
      <c r="F331" s="70">
        <v>79.1</v>
      </c>
      <c r="G331" s="70"/>
      <c r="H331" s="72"/>
      <c r="I331" s="73"/>
      <c r="J331" s="94" t="s">
        <v>52</v>
      </c>
      <c r="K331" s="95" t="s">
        <v>27</v>
      </c>
      <c r="L331" s="95" t="s">
        <v>43</v>
      </c>
      <c r="O331" s="39" t="s">
        <v>12</v>
      </c>
      <c r="P331" s="40" t="s">
        <v>13</v>
      </c>
      <c r="Q331" s="41"/>
      <c r="R331" s="42" t="s">
        <v>14</v>
      </c>
      <c r="S331" s="43"/>
      <c r="T331" s="44" t="s">
        <v>15</v>
      </c>
      <c r="U331" s="45"/>
      <c r="V331" s="46"/>
      <c r="W331" s="47" t="s">
        <v>16</v>
      </c>
      <c r="X331" s="48"/>
      <c r="Y331" s="49">
        <f>P353+R353</f>
        <v>4438</v>
      </c>
      <c r="AB331" s="36"/>
      <c r="AC331" s="37"/>
      <c r="AD331" s="37"/>
      <c r="AE331" s="37"/>
      <c r="AF331" s="37"/>
      <c r="AG331" s="37"/>
      <c r="AH331" s="37"/>
      <c r="AI331" s="37"/>
      <c r="AJ331" s="37"/>
      <c r="AK331" s="37"/>
      <c r="AL331" s="38"/>
      <c r="AO331" s="96"/>
      <c r="AP331" s="97"/>
      <c r="AQ331" s="98"/>
      <c r="AR331" s="99"/>
      <c r="AS331" s="98"/>
      <c r="AT331" s="98"/>
      <c r="AU331" s="72"/>
      <c r="AV331" s="73"/>
      <c r="BB331" s="59"/>
      <c r="BC331" s="60">
        <v>164</v>
      </c>
      <c r="BD331" s="61">
        <v>40</v>
      </c>
      <c r="BE331" s="62"/>
      <c r="BF331" s="61"/>
      <c r="BG331" s="61"/>
      <c r="BH331" s="75"/>
      <c r="BI331" s="84"/>
      <c r="BJ331" s="92" t="s">
        <v>47</v>
      </c>
      <c r="BK331" s="93" t="s">
        <v>27</v>
      </c>
      <c r="BL331" s="93" t="s">
        <v>43</v>
      </c>
    </row>
    <row r="332" ht="15.75" spans="2:64">
      <c r="B332" s="59"/>
      <c r="C332" s="60">
        <v>350</v>
      </c>
      <c r="D332" s="61">
        <v>40</v>
      </c>
      <c r="E332" s="62"/>
      <c r="F332" s="61"/>
      <c r="G332" s="61"/>
      <c r="H332" s="75"/>
      <c r="I332" s="76"/>
      <c r="J332" s="77"/>
      <c r="K332" s="77"/>
      <c r="L332" s="87"/>
      <c r="O332" s="50"/>
      <c r="P332" s="51" t="s">
        <v>17</v>
      </c>
      <c r="Q332" s="51" t="s">
        <v>18</v>
      </c>
      <c r="R332" s="52" t="s">
        <v>17</v>
      </c>
      <c r="S332" s="52" t="s">
        <v>18</v>
      </c>
      <c r="T332" s="53"/>
      <c r="U332" s="54"/>
      <c r="V332" s="55"/>
      <c r="W332" s="56" t="s">
        <v>19</v>
      </c>
      <c r="X332" s="57"/>
      <c r="Y332" s="49">
        <f>Q353+S353</f>
        <v>340.55</v>
      </c>
      <c r="AB332" s="39" t="s">
        <v>12</v>
      </c>
      <c r="AC332" s="40" t="s">
        <v>13</v>
      </c>
      <c r="AD332" s="41"/>
      <c r="AE332" s="42" t="s">
        <v>14</v>
      </c>
      <c r="AF332" s="43"/>
      <c r="AG332" s="44" t="s">
        <v>15</v>
      </c>
      <c r="AH332" s="45"/>
      <c r="AI332" s="46"/>
      <c r="AJ332" s="47" t="s">
        <v>16</v>
      </c>
      <c r="AK332" s="48"/>
      <c r="AL332" s="49">
        <f>AC354+AE354</f>
        <v>5574</v>
      </c>
      <c r="AO332" s="102">
        <f t="shared" ref="AO332:AT332" si="60">SUM(AO306:AO331)</f>
        <v>1469</v>
      </c>
      <c r="AP332" s="103">
        <f t="shared" si="60"/>
        <v>1750</v>
      </c>
      <c r="AQ332" s="104">
        <f t="shared" si="60"/>
        <v>310</v>
      </c>
      <c r="AR332" s="105">
        <f t="shared" si="60"/>
        <v>7357</v>
      </c>
      <c r="AS332" s="106">
        <f t="shared" si="60"/>
        <v>383.45</v>
      </c>
      <c r="AT332" s="107">
        <f t="shared" si="60"/>
        <v>718.09</v>
      </c>
      <c r="AU332" s="108" t="s">
        <v>54</v>
      </c>
      <c r="AV332" s="109"/>
      <c r="BB332" s="69"/>
      <c r="BC332" s="70"/>
      <c r="BD332" s="85"/>
      <c r="BE332" s="70"/>
      <c r="BF332" s="70"/>
      <c r="BG332" s="70"/>
      <c r="BH332" s="72"/>
      <c r="BI332" s="73"/>
      <c r="BJ332" s="94" t="s">
        <v>52</v>
      </c>
      <c r="BK332" s="95" t="s">
        <v>48</v>
      </c>
      <c r="BL332" s="95" t="s">
        <v>65</v>
      </c>
    </row>
    <row r="333" ht="15.75" spans="2:64">
      <c r="B333" s="69"/>
      <c r="C333" s="70"/>
      <c r="D333" s="71"/>
      <c r="E333" s="70">
        <v>480</v>
      </c>
      <c r="F333" s="70">
        <v>48</v>
      </c>
      <c r="G333" s="70"/>
      <c r="H333" s="72"/>
      <c r="I333" s="73"/>
      <c r="J333" s="58"/>
      <c r="K333" s="58"/>
      <c r="L333" s="58"/>
      <c r="O333" s="59">
        <v>497</v>
      </c>
      <c r="P333" s="60">
        <v>16</v>
      </c>
      <c r="Q333" s="61"/>
      <c r="R333" s="62"/>
      <c r="S333" s="61"/>
      <c r="T333" s="61">
        <v>57</v>
      </c>
      <c r="U333" s="63" t="s">
        <v>198</v>
      </c>
      <c r="V333" s="64"/>
      <c r="W333" s="65" t="s">
        <v>21</v>
      </c>
      <c r="X333" s="66"/>
      <c r="Y333" s="67">
        <f>T353</f>
        <v>134</v>
      </c>
      <c r="AB333" s="50"/>
      <c r="AC333" s="51" t="s">
        <v>17</v>
      </c>
      <c r="AD333" s="51" t="s">
        <v>18</v>
      </c>
      <c r="AE333" s="52" t="s">
        <v>17</v>
      </c>
      <c r="AF333" s="52" t="s">
        <v>18</v>
      </c>
      <c r="AG333" s="53"/>
      <c r="AH333" s="54"/>
      <c r="AI333" s="55"/>
      <c r="AJ333" s="56" t="s">
        <v>19</v>
      </c>
      <c r="AK333" s="57"/>
      <c r="AL333" s="49">
        <f>AD354+AF354</f>
        <v>534.4</v>
      </c>
      <c r="BB333" s="59"/>
      <c r="BC333" s="60"/>
      <c r="BD333" s="61"/>
      <c r="BE333" s="62"/>
      <c r="BF333" s="61"/>
      <c r="BG333" s="61"/>
      <c r="BH333" s="75"/>
      <c r="BI333" s="84"/>
      <c r="BJ333" s="77"/>
      <c r="BK333" s="77"/>
      <c r="BL333" s="87"/>
    </row>
    <row r="334" ht="15.75" spans="2:64">
      <c r="B334" s="59"/>
      <c r="C334" s="60">
        <v>919</v>
      </c>
      <c r="D334" s="61">
        <v>75</v>
      </c>
      <c r="E334" s="62"/>
      <c r="F334" s="61"/>
      <c r="G334" s="61"/>
      <c r="H334" s="75"/>
      <c r="I334" s="76"/>
      <c r="J334" s="58"/>
      <c r="K334" s="58"/>
      <c r="L334" s="58"/>
      <c r="O334" s="69"/>
      <c r="P334" s="70"/>
      <c r="Q334" s="71"/>
      <c r="R334" s="70">
        <v>678</v>
      </c>
      <c r="S334" s="70">
        <v>67.8</v>
      </c>
      <c r="T334" s="70">
        <v>30</v>
      </c>
      <c r="U334" s="72" t="s">
        <v>29</v>
      </c>
      <c r="V334" s="73"/>
      <c r="W334" s="74" t="s">
        <v>26</v>
      </c>
      <c r="X334" s="57"/>
      <c r="Y334" s="49">
        <f>O353+Y331+Y332-Y333-R353-S353</f>
        <v>2969</v>
      </c>
      <c r="AB334" s="59">
        <v>2187</v>
      </c>
      <c r="AC334" s="60"/>
      <c r="AD334" s="61"/>
      <c r="AE334" s="62">
        <v>170</v>
      </c>
      <c r="AF334" s="61">
        <v>17</v>
      </c>
      <c r="AG334" s="61">
        <v>30</v>
      </c>
      <c r="AH334" s="63" t="s">
        <v>29</v>
      </c>
      <c r="AI334" s="64"/>
      <c r="AJ334" s="65" t="s">
        <v>21</v>
      </c>
      <c r="AK334" s="66"/>
      <c r="AL334" s="67">
        <f>AG354</f>
        <v>1071</v>
      </c>
      <c r="BB334" s="69"/>
      <c r="BC334" s="70"/>
      <c r="BD334" s="85"/>
      <c r="BE334" s="70"/>
      <c r="BF334" s="70"/>
      <c r="BG334" s="70"/>
      <c r="BH334" s="72"/>
      <c r="BI334" s="73"/>
      <c r="BJ334" s="58"/>
      <c r="BK334" s="58"/>
      <c r="BL334" s="58"/>
    </row>
    <row r="335" ht="15.75" spans="2:64">
      <c r="B335" s="69"/>
      <c r="C335" s="71">
        <v>230</v>
      </c>
      <c r="D335" s="71">
        <v>50</v>
      </c>
      <c r="E335" s="70"/>
      <c r="F335" s="70"/>
      <c r="G335" s="70"/>
      <c r="H335" s="72"/>
      <c r="I335" s="73"/>
      <c r="J335" s="58"/>
      <c r="K335" s="58"/>
      <c r="L335" s="58"/>
      <c r="O335" s="59"/>
      <c r="P335" s="60"/>
      <c r="Q335" s="61"/>
      <c r="R335" s="62">
        <v>340</v>
      </c>
      <c r="S335" s="61">
        <v>34</v>
      </c>
      <c r="T335" s="61">
        <v>47</v>
      </c>
      <c r="U335" s="75" t="s">
        <v>199</v>
      </c>
      <c r="V335" s="76"/>
      <c r="W335" s="77"/>
      <c r="X335" s="78" t="s">
        <v>30</v>
      </c>
      <c r="Y335" s="79">
        <f>Y332/4</f>
        <v>85.1375</v>
      </c>
      <c r="AB335" s="69"/>
      <c r="AC335" s="70">
        <v>230</v>
      </c>
      <c r="AD335" s="71">
        <v>20</v>
      </c>
      <c r="AE335" s="70"/>
      <c r="AF335" s="70"/>
      <c r="AG335" s="70">
        <v>304</v>
      </c>
      <c r="AH335" s="72" t="s">
        <v>118</v>
      </c>
      <c r="AI335" s="73"/>
      <c r="AJ335" s="74" t="s">
        <v>26</v>
      </c>
      <c r="AK335" s="57"/>
      <c r="AL335" s="49">
        <f>AB354+AL332+AL333-AL334-AE354-AF354</f>
        <v>4039</v>
      </c>
      <c r="AO335" s="33" t="s">
        <v>200</v>
      </c>
      <c r="AP335" s="34"/>
      <c r="AQ335" s="34"/>
      <c r="AR335" s="34"/>
      <c r="AS335" s="34"/>
      <c r="AT335" s="34"/>
      <c r="AU335" s="34"/>
      <c r="AV335" s="34"/>
      <c r="AW335" s="34"/>
      <c r="AX335" s="34"/>
      <c r="AY335" s="35"/>
      <c r="BB335" s="59"/>
      <c r="BC335" s="60"/>
      <c r="BD335" s="61"/>
      <c r="BE335" s="62"/>
      <c r="BF335" s="61"/>
      <c r="BG335" s="61"/>
      <c r="BH335" s="75"/>
      <c r="BI335" s="76"/>
    </row>
    <row r="336" ht="17" customHeight="1" spans="2:64">
      <c r="B336" s="59"/>
      <c r="C336" s="61"/>
      <c r="D336" s="61"/>
      <c r="E336" s="62">
        <v>665</v>
      </c>
      <c r="F336" s="61">
        <v>66.5</v>
      </c>
      <c r="G336" s="61"/>
      <c r="H336" s="75"/>
      <c r="I336" s="76"/>
      <c r="J336" s="58"/>
      <c r="K336" s="58"/>
      <c r="L336" s="58"/>
      <c r="O336" s="69"/>
      <c r="P336" s="70">
        <v>127</v>
      </c>
      <c r="Q336" s="71">
        <v>23</v>
      </c>
      <c r="R336" s="70"/>
      <c r="S336" s="70"/>
      <c r="T336" s="70"/>
      <c r="U336" s="72"/>
      <c r="V336" s="73"/>
      <c r="W336" s="77"/>
      <c r="X336" s="80" t="s">
        <v>34</v>
      </c>
      <c r="Y336" s="81">
        <f>Y332/6</f>
        <v>56.7583333333333</v>
      </c>
      <c r="AB336" s="59"/>
      <c r="AC336" s="60">
        <v>642</v>
      </c>
      <c r="AD336" s="61">
        <v>50</v>
      </c>
      <c r="AE336" s="62"/>
      <c r="AF336" s="61"/>
      <c r="AG336" s="61">
        <v>737</v>
      </c>
      <c r="AH336" s="75" t="s">
        <v>39</v>
      </c>
      <c r="AI336" s="76"/>
      <c r="AJ336" s="77"/>
      <c r="AK336" s="78" t="s">
        <v>30</v>
      </c>
      <c r="AL336" s="79">
        <f>AL333/4</f>
        <v>133.6</v>
      </c>
      <c r="AO336" s="36"/>
      <c r="AP336" s="37"/>
      <c r="AQ336" s="37"/>
      <c r="AR336" s="37"/>
      <c r="AS336" s="37"/>
      <c r="AT336" s="37"/>
      <c r="AU336" s="37"/>
      <c r="AV336" s="37"/>
      <c r="AW336" s="37"/>
      <c r="AX336" s="37"/>
      <c r="AY336" s="38"/>
      <c r="BB336" s="96"/>
      <c r="BC336" s="97"/>
      <c r="BD336" s="98"/>
      <c r="BE336" s="99"/>
      <c r="BF336" s="98"/>
      <c r="BG336" s="98"/>
      <c r="BH336" s="72"/>
      <c r="BI336" s="73"/>
    </row>
    <row r="337" ht="15.75" spans="2:64">
      <c r="B337" s="69"/>
      <c r="C337" s="70"/>
      <c r="D337" s="71"/>
      <c r="E337" s="70">
        <v>789</v>
      </c>
      <c r="F337" s="70">
        <v>78.9</v>
      </c>
      <c r="G337" s="70"/>
      <c r="H337" s="72"/>
      <c r="I337" s="73"/>
      <c r="J337" s="58"/>
      <c r="K337" s="58"/>
      <c r="L337" s="58"/>
      <c r="O337" s="59"/>
      <c r="P337">
        <v>634</v>
      </c>
      <c r="Q337" s="61"/>
      <c r="R337" s="62"/>
      <c r="S337" s="61"/>
      <c r="T337" s="61"/>
      <c r="U337" s="75"/>
      <c r="V337" s="76"/>
      <c r="W337" s="77"/>
      <c r="X337" s="82" t="s">
        <v>37</v>
      </c>
      <c r="Y337" s="83">
        <f>Y332/8</f>
        <v>42.56875</v>
      </c>
      <c r="AB337" s="69"/>
      <c r="AC337" s="70"/>
      <c r="AD337" s="71"/>
      <c r="AE337" s="70">
        <v>478</v>
      </c>
      <c r="AF337" s="70">
        <v>47.8</v>
      </c>
      <c r="AG337" s="70"/>
      <c r="AH337" s="72"/>
      <c r="AI337" s="73"/>
      <c r="AJ337" s="77"/>
      <c r="AK337" s="80" t="s">
        <v>34</v>
      </c>
      <c r="AL337" s="81">
        <f>AL333/6</f>
        <v>89.0666666666667</v>
      </c>
      <c r="AO337" s="39" t="s">
        <v>12</v>
      </c>
      <c r="AP337" s="40" t="s">
        <v>13</v>
      </c>
      <c r="AQ337" s="41"/>
      <c r="AR337" s="42" t="s">
        <v>14</v>
      </c>
      <c r="AS337" s="43"/>
      <c r="AT337" s="44" t="s">
        <v>15</v>
      </c>
      <c r="AU337" s="45"/>
      <c r="AV337" s="46"/>
      <c r="AW337" s="47" t="s">
        <v>16</v>
      </c>
      <c r="AX337" s="48"/>
      <c r="AY337" s="49">
        <f>AP361+AR361</f>
        <v>6873</v>
      </c>
      <c r="BB337" s="59"/>
      <c r="BC337" s="60"/>
      <c r="BD337" s="61"/>
      <c r="BE337" s="62"/>
      <c r="BF337" s="61"/>
      <c r="BG337" s="61"/>
      <c r="BH337" s="75"/>
      <c r="BI337" s="76"/>
    </row>
    <row r="338" ht="15.75" spans="2:64">
      <c r="B338" s="59"/>
      <c r="C338" s="60">
        <v>845</v>
      </c>
      <c r="D338" s="61">
        <v>95</v>
      </c>
      <c r="E338" s="62"/>
      <c r="F338" s="61"/>
      <c r="G338" s="61"/>
      <c r="H338" s="75"/>
      <c r="I338" s="76"/>
      <c r="O338" s="69"/>
      <c r="P338" s="60">
        <v>270</v>
      </c>
      <c r="Q338" s="85">
        <v>20</v>
      </c>
      <c r="R338" s="70"/>
      <c r="S338" s="70"/>
      <c r="T338" s="70"/>
      <c r="U338" s="72"/>
      <c r="V338" s="73"/>
      <c r="W338" s="86"/>
      <c r="X338" s="77"/>
      <c r="Y338" s="87"/>
      <c r="AB338" s="59"/>
      <c r="AC338" s="60">
        <v>68</v>
      </c>
      <c r="AD338" s="61"/>
      <c r="AE338" s="62"/>
      <c r="AF338" s="61"/>
      <c r="AG338" s="61"/>
      <c r="AH338" s="75"/>
      <c r="AI338" s="76"/>
      <c r="AJ338" s="77"/>
      <c r="AK338" s="82" t="s">
        <v>37</v>
      </c>
      <c r="AL338" s="83">
        <f>AL333/8</f>
        <v>66.8</v>
      </c>
      <c r="AO338" s="50"/>
      <c r="AP338" s="51" t="s">
        <v>17</v>
      </c>
      <c r="AQ338" s="51" t="s">
        <v>18</v>
      </c>
      <c r="AR338" s="52" t="s">
        <v>17</v>
      </c>
      <c r="AS338" s="52" t="s">
        <v>18</v>
      </c>
      <c r="AT338" s="53"/>
      <c r="AU338" s="54"/>
      <c r="AV338" s="55"/>
      <c r="AW338" s="56" t="s">
        <v>19</v>
      </c>
      <c r="AX338" s="57"/>
      <c r="AY338" s="49">
        <f>AQ361+AS361</f>
        <v>733.8</v>
      </c>
      <c r="BB338" s="96"/>
      <c r="BC338" s="97"/>
      <c r="BD338" s="98"/>
      <c r="BE338" s="99"/>
      <c r="BF338" s="98"/>
      <c r="BG338" s="98"/>
      <c r="BH338" s="72"/>
      <c r="BI338" s="73"/>
    </row>
    <row r="339" ht="15.75" spans="2:64">
      <c r="B339" s="69"/>
      <c r="C339" s="112"/>
      <c r="D339" s="71"/>
      <c r="E339" s="58">
        <v>393</v>
      </c>
      <c r="F339" s="70">
        <v>39.3</v>
      </c>
      <c r="G339" s="70"/>
      <c r="H339" s="72"/>
      <c r="I339" s="73"/>
      <c r="O339" s="59"/>
      <c r="P339" s="60"/>
      <c r="Q339" s="61"/>
      <c r="R339" s="62">
        <v>170</v>
      </c>
      <c r="S339" s="61">
        <v>17</v>
      </c>
      <c r="T339" s="61"/>
      <c r="U339" s="75"/>
      <c r="V339" s="76"/>
      <c r="W339" s="77"/>
      <c r="X339" s="58"/>
      <c r="Y339" s="58"/>
      <c r="AB339" s="69"/>
      <c r="AC339" s="70">
        <v>157</v>
      </c>
      <c r="AD339" s="85">
        <v>16</v>
      </c>
      <c r="AE339" s="70"/>
      <c r="AF339" s="70"/>
      <c r="AG339" s="70"/>
      <c r="AH339" s="72"/>
      <c r="AI339" s="73"/>
      <c r="AJ339" s="86"/>
      <c r="AK339" s="77"/>
      <c r="AL339" s="87"/>
      <c r="AO339" s="59">
        <v>2800</v>
      </c>
      <c r="AP339" s="68"/>
      <c r="AQ339" s="61"/>
      <c r="AR339" s="62">
        <v>340</v>
      </c>
      <c r="AS339" s="61">
        <v>34</v>
      </c>
      <c r="AT339" s="61">
        <v>500</v>
      </c>
      <c r="AU339" s="63" t="s">
        <v>23</v>
      </c>
      <c r="AV339" s="64"/>
      <c r="AW339" s="65" t="s">
        <v>21</v>
      </c>
      <c r="AX339" s="66"/>
      <c r="AY339" s="67">
        <f>AT361</f>
        <v>3763</v>
      </c>
      <c r="BB339" s="59"/>
      <c r="BC339" s="60"/>
      <c r="BD339" s="61"/>
      <c r="BE339" s="62"/>
      <c r="BF339" s="61"/>
      <c r="BG339" s="61"/>
      <c r="BH339" s="75"/>
      <c r="BI339" s="76"/>
    </row>
    <row r="340" ht="15.75" spans="2:64">
      <c r="B340" s="59"/>
      <c r="C340" s="60"/>
      <c r="D340" s="61"/>
      <c r="E340" s="62">
        <v>400</v>
      </c>
      <c r="F340" s="61">
        <v>40</v>
      </c>
      <c r="G340" s="61"/>
      <c r="H340" s="75"/>
      <c r="I340" s="76"/>
      <c r="O340" s="69"/>
      <c r="P340" s="70">
        <v>170</v>
      </c>
      <c r="Q340" s="71">
        <v>20</v>
      </c>
      <c r="R340" s="70"/>
      <c r="S340" s="70"/>
      <c r="T340" s="70"/>
      <c r="U340" s="72"/>
      <c r="V340" s="73"/>
      <c r="W340" s="77"/>
      <c r="X340" s="58"/>
      <c r="Y340" s="58"/>
      <c r="AB340" s="59"/>
      <c r="AC340" s="60"/>
      <c r="AD340" s="61"/>
      <c r="AE340" s="62">
        <v>164</v>
      </c>
      <c r="AF340" s="61">
        <v>16.4</v>
      </c>
      <c r="AG340" s="61"/>
      <c r="AH340" s="75"/>
      <c r="AI340" s="76"/>
      <c r="AJ340" s="77"/>
      <c r="AK340" s="58"/>
      <c r="AL340" s="58"/>
      <c r="AO340" s="69"/>
      <c r="AP340" s="70">
        <v>306</v>
      </c>
      <c r="AQ340" s="71">
        <v>10</v>
      </c>
      <c r="AR340" s="70"/>
      <c r="AS340" s="70"/>
      <c r="AT340" s="70">
        <v>61</v>
      </c>
      <c r="AU340" s="72" t="s">
        <v>201</v>
      </c>
      <c r="AV340" s="73"/>
      <c r="AW340" s="74" t="s">
        <v>26</v>
      </c>
      <c r="AX340" s="57"/>
      <c r="AY340" s="49">
        <f>AO361+AY337+AY338-AY339-AR361-AS361</f>
        <v>741.999999999999</v>
      </c>
      <c r="BB340" s="96"/>
      <c r="BC340" s="97"/>
      <c r="BD340" s="98"/>
      <c r="BE340" s="99"/>
      <c r="BF340" s="98"/>
      <c r="BG340" s="98"/>
      <c r="BH340" s="72"/>
      <c r="BI340" s="73"/>
    </row>
    <row r="341" ht="15.75" spans="2:64">
      <c r="B341" s="96"/>
      <c r="C341" s="97">
        <v>624</v>
      </c>
      <c r="D341" s="98">
        <v>74</v>
      </c>
      <c r="E341" s="99"/>
      <c r="F341" s="98"/>
      <c r="G341" s="98"/>
      <c r="H341" s="72"/>
      <c r="I341" s="73"/>
      <c r="O341" s="59"/>
      <c r="P341" s="60">
        <v>696</v>
      </c>
      <c r="Q341" s="88"/>
      <c r="R341" s="62"/>
      <c r="S341" s="61"/>
      <c r="T341" s="61"/>
      <c r="U341" s="75"/>
      <c r="V341" s="76"/>
      <c r="W341" s="77"/>
      <c r="X341" s="58"/>
      <c r="Y341" s="58"/>
      <c r="AB341" s="69"/>
      <c r="AC341" s="70">
        <v>176</v>
      </c>
      <c r="AD341" s="71"/>
      <c r="AE341" s="70"/>
      <c r="AF341" s="70"/>
      <c r="AG341" s="70"/>
      <c r="AH341" s="72"/>
      <c r="AI341" s="73"/>
      <c r="AJ341" s="77"/>
      <c r="AK341" s="58"/>
      <c r="AL341" s="58"/>
      <c r="AO341" s="59"/>
      <c r="AP341" s="60">
        <v>428</v>
      </c>
      <c r="AQ341" s="61">
        <v>60</v>
      </c>
      <c r="AR341" s="62"/>
      <c r="AS341" s="61"/>
      <c r="AT341" s="61">
        <v>70</v>
      </c>
      <c r="AU341" s="75" t="s">
        <v>202</v>
      </c>
      <c r="AV341" s="76"/>
      <c r="AW341" s="77"/>
      <c r="AX341" s="78" t="s">
        <v>30</v>
      </c>
      <c r="AY341" s="79">
        <f>AY338/4</f>
        <v>183.45</v>
      </c>
      <c r="BB341" s="102">
        <f t="shared" ref="BB341:BG341" si="61">SUM(BB321:BB340)</f>
        <v>536</v>
      </c>
      <c r="BC341" s="103">
        <f t="shared" si="61"/>
        <v>2302</v>
      </c>
      <c r="BD341" s="104">
        <f t="shared" si="61"/>
        <v>230</v>
      </c>
      <c r="BE341" s="105">
        <f t="shared" si="61"/>
        <v>2016</v>
      </c>
      <c r="BF341" s="106">
        <f t="shared" si="61"/>
        <v>146.95</v>
      </c>
      <c r="BG341" s="107">
        <f t="shared" si="61"/>
        <v>388</v>
      </c>
      <c r="BH341" s="108" t="s">
        <v>54</v>
      </c>
      <c r="BI341" s="109"/>
    </row>
    <row r="342" spans="2:64">
      <c r="B342" s="59"/>
      <c r="C342" s="60"/>
      <c r="D342" s="61"/>
      <c r="E342" s="62">
        <v>584</v>
      </c>
      <c r="F342" s="61">
        <v>54.8</v>
      </c>
      <c r="G342" s="61"/>
      <c r="H342" s="75"/>
      <c r="I342" s="76"/>
      <c r="O342" s="69"/>
      <c r="P342" s="70"/>
      <c r="Q342" s="71"/>
      <c r="R342" s="70">
        <v>60</v>
      </c>
      <c r="S342" s="70"/>
      <c r="T342" s="70"/>
      <c r="U342" s="72"/>
      <c r="V342" s="73"/>
      <c r="W342" s="89" t="s">
        <v>44</v>
      </c>
      <c r="X342" s="90" t="s">
        <v>45</v>
      </c>
      <c r="Y342" s="90" t="s">
        <v>46</v>
      </c>
      <c r="AB342" s="59"/>
      <c r="AC342" s="60">
        <v>284</v>
      </c>
      <c r="AD342" s="88">
        <v>46</v>
      </c>
      <c r="AE342" s="62"/>
      <c r="AF342" s="61"/>
      <c r="AG342" s="61"/>
      <c r="AH342" s="75"/>
      <c r="AI342" s="76"/>
      <c r="AJ342" s="77"/>
      <c r="AK342" s="58"/>
      <c r="AL342" s="58"/>
      <c r="AO342" s="69"/>
      <c r="AP342" s="70"/>
      <c r="AQ342" s="71"/>
      <c r="AR342" s="70">
        <v>637</v>
      </c>
      <c r="AS342" s="70">
        <v>95.55</v>
      </c>
      <c r="AT342" s="70">
        <v>45</v>
      </c>
      <c r="AU342" s="72" t="s">
        <v>70</v>
      </c>
      <c r="AV342" s="73"/>
      <c r="AW342" s="77"/>
      <c r="AX342" s="80" t="s">
        <v>34</v>
      </c>
      <c r="AY342" s="81">
        <f>AY338/6</f>
        <v>122.3</v>
      </c>
    </row>
    <row r="343" spans="2:64">
      <c r="B343" s="118"/>
      <c r="C343" s="119">
        <v>511</v>
      </c>
      <c r="D343" s="120">
        <v>29</v>
      </c>
      <c r="E343" s="121"/>
      <c r="F343" s="120"/>
      <c r="G343" s="120"/>
      <c r="H343" s="122"/>
      <c r="I343" s="123"/>
      <c r="J343" s="124"/>
      <c r="O343" s="59"/>
      <c r="P343" s="60"/>
      <c r="Q343" s="61"/>
      <c r="R343" s="62">
        <v>142</v>
      </c>
      <c r="S343" s="61"/>
      <c r="T343" s="61"/>
      <c r="U343" s="75"/>
      <c r="V343" s="76"/>
      <c r="W343" s="92" t="s">
        <v>47</v>
      </c>
      <c r="X343" s="93" t="s">
        <v>48</v>
      </c>
      <c r="Y343" s="93" t="s">
        <v>66</v>
      </c>
      <c r="AB343" s="69"/>
      <c r="AC343" s="70"/>
      <c r="AD343" s="71">
        <v>50</v>
      </c>
      <c r="AE343" s="70">
        <v>618</v>
      </c>
      <c r="AF343" s="70"/>
      <c r="AG343" s="70"/>
      <c r="AH343" s="72"/>
      <c r="AI343" s="73"/>
      <c r="AJ343" s="89" t="s">
        <v>44</v>
      </c>
      <c r="AK343" s="90" t="s">
        <v>45</v>
      </c>
      <c r="AL343" s="90" t="s">
        <v>46</v>
      </c>
      <c r="AO343" s="59"/>
      <c r="AP343" s="60"/>
      <c r="AQ343" s="61"/>
      <c r="AR343" s="62">
        <v>927</v>
      </c>
      <c r="AS343" s="61">
        <v>92.7</v>
      </c>
      <c r="AT343" s="61">
        <v>80</v>
      </c>
      <c r="AU343" s="75" t="s">
        <v>203</v>
      </c>
      <c r="AV343" s="84"/>
      <c r="AW343" s="77"/>
      <c r="AX343" s="82" t="s">
        <v>37</v>
      </c>
      <c r="AY343" s="83">
        <f>AY338/8</f>
        <v>91.725</v>
      </c>
    </row>
    <row r="344" ht="14" customHeight="1" spans="2:64">
      <c r="B344" s="59"/>
      <c r="C344" s="60"/>
      <c r="D344" s="61"/>
      <c r="E344" s="62">
        <v>832</v>
      </c>
      <c r="F344" s="61">
        <v>83.2</v>
      </c>
      <c r="G344" s="61"/>
      <c r="H344" s="75"/>
      <c r="I344" s="76"/>
      <c r="O344" s="69"/>
      <c r="P344" s="70">
        <v>225</v>
      </c>
      <c r="Q344" s="71">
        <v>25</v>
      </c>
      <c r="R344" s="70"/>
      <c r="S344" s="70"/>
      <c r="T344" s="70"/>
      <c r="U344" s="72"/>
      <c r="V344" s="73"/>
      <c r="W344" s="94" t="s">
        <v>52</v>
      </c>
      <c r="X344" s="95" t="s">
        <v>27</v>
      </c>
      <c r="Y344" s="95" t="s">
        <v>65</v>
      </c>
      <c r="AB344" s="59"/>
      <c r="AC344" s="60"/>
      <c r="AD344" s="61"/>
      <c r="AE344" s="62">
        <v>413</v>
      </c>
      <c r="AF344" s="61">
        <v>41.3</v>
      </c>
      <c r="AG344" s="61"/>
      <c r="AH344" s="75"/>
      <c r="AI344" s="76"/>
      <c r="AJ344" s="92" t="s">
        <v>47</v>
      </c>
      <c r="AK344" s="93" t="s">
        <v>48</v>
      </c>
      <c r="AL344" s="93" t="s">
        <v>65</v>
      </c>
      <c r="AO344" s="69"/>
      <c r="AP344" s="70"/>
      <c r="AQ344" s="85"/>
      <c r="AR344" s="70">
        <v>421</v>
      </c>
      <c r="AS344" s="70">
        <v>42.1</v>
      </c>
      <c r="AT344" s="70">
        <v>71</v>
      </c>
      <c r="AU344" s="72" t="s">
        <v>204</v>
      </c>
      <c r="AV344" s="73"/>
      <c r="AW344" s="86"/>
      <c r="AX344" s="77"/>
      <c r="AY344" s="87"/>
    </row>
    <row r="345" spans="2:64">
      <c r="B345" s="96"/>
      <c r="C345" s="97"/>
      <c r="D345" s="98"/>
      <c r="E345" s="99"/>
      <c r="F345" s="98"/>
      <c r="G345" s="98"/>
      <c r="H345" s="72"/>
      <c r="I345" s="73"/>
      <c r="O345" s="59"/>
      <c r="P345" s="60">
        <v>108</v>
      </c>
      <c r="Q345" s="61">
        <v>20</v>
      </c>
      <c r="R345" s="62"/>
      <c r="S345" s="61"/>
      <c r="T345" s="61"/>
      <c r="U345" s="75"/>
      <c r="V345" s="76"/>
      <c r="W345" s="77"/>
      <c r="X345" s="77"/>
      <c r="Y345" s="87"/>
      <c r="AB345" s="69"/>
      <c r="AC345" s="70"/>
      <c r="AD345" s="71"/>
      <c r="AE345" s="70">
        <v>498</v>
      </c>
      <c r="AF345" s="70">
        <v>49.8</v>
      </c>
      <c r="AG345" s="70"/>
      <c r="AH345" s="72"/>
      <c r="AI345" s="73"/>
      <c r="AJ345" s="94" t="s">
        <v>52</v>
      </c>
      <c r="AK345" s="95" t="s">
        <v>27</v>
      </c>
      <c r="AL345" s="95" t="s">
        <v>43</v>
      </c>
      <c r="AO345" s="59"/>
      <c r="AP345" s="60"/>
      <c r="AQ345" s="61"/>
      <c r="AR345" s="62">
        <v>263</v>
      </c>
      <c r="AS345" s="61"/>
      <c r="AT345" s="61">
        <v>596</v>
      </c>
      <c r="AU345" s="75" t="s">
        <v>205</v>
      </c>
      <c r="AV345" s="84"/>
      <c r="AW345" s="77"/>
      <c r="AX345" s="58"/>
      <c r="AY345" s="58"/>
      <c r="BB345" s="33" t="s">
        <v>206</v>
      </c>
      <c r="BC345" s="34"/>
      <c r="BD345" s="34"/>
      <c r="BE345" s="34"/>
      <c r="BF345" s="34"/>
      <c r="BG345" s="34"/>
      <c r="BH345" s="34"/>
      <c r="BI345" s="34"/>
      <c r="BJ345" s="34"/>
      <c r="BK345" s="34"/>
      <c r="BL345" s="35"/>
    </row>
    <row r="346" ht="15.75" spans="2:64">
      <c r="B346" s="59"/>
      <c r="C346" s="60"/>
      <c r="D346" s="61"/>
      <c r="E346" s="62"/>
      <c r="F346" s="61"/>
      <c r="G346" s="61"/>
      <c r="H346" s="75"/>
      <c r="I346" s="76"/>
      <c r="O346" s="69"/>
      <c r="P346" s="70">
        <v>202</v>
      </c>
      <c r="Q346" s="71">
        <v>30</v>
      </c>
      <c r="R346" s="70"/>
      <c r="S346" s="70"/>
      <c r="T346" s="70"/>
      <c r="U346" s="72"/>
      <c r="V346" s="73"/>
      <c r="W346" s="58"/>
      <c r="X346" s="58"/>
      <c r="Y346" s="58"/>
      <c r="AB346" s="59"/>
      <c r="AC346" s="60"/>
      <c r="AD346" s="61"/>
      <c r="AE346" s="62">
        <v>611</v>
      </c>
      <c r="AF346" s="61">
        <v>61.1</v>
      </c>
      <c r="AG346" s="61"/>
      <c r="AH346" s="75"/>
      <c r="AI346" s="76"/>
      <c r="AJ346" s="77"/>
      <c r="AK346" s="77"/>
      <c r="AL346" s="87"/>
      <c r="AO346" s="69"/>
      <c r="AP346" s="70">
        <v>10</v>
      </c>
      <c r="AQ346" s="85"/>
      <c r="AR346" s="70"/>
      <c r="AS346" s="70"/>
      <c r="AT346" s="70">
        <v>93</v>
      </c>
      <c r="AU346" s="72" t="s">
        <v>207</v>
      </c>
      <c r="AV346" s="73"/>
      <c r="AW346" s="77"/>
      <c r="AX346" s="58"/>
      <c r="AY346" s="58"/>
      <c r="BB346" s="36"/>
      <c r="BC346" s="37"/>
      <c r="BD346" s="37"/>
      <c r="BE346" s="37"/>
      <c r="BF346" s="37"/>
      <c r="BG346" s="37"/>
      <c r="BH346" s="37"/>
      <c r="BI346" s="37"/>
      <c r="BJ346" s="37"/>
      <c r="BK346" s="37"/>
      <c r="BL346" s="38"/>
    </row>
    <row r="347" ht="15.75" spans="2:64">
      <c r="B347" s="102">
        <f t="shared" ref="B347:G347" si="62">SUM(B320:B344)</f>
        <v>754</v>
      </c>
      <c r="C347" s="103">
        <f t="shared" si="62"/>
        <v>6037</v>
      </c>
      <c r="D347" s="104">
        <f t="shared" si="62"/>
        <v>602</v>
      </c>
      <c r="E347" s="105">
        <f t="shared" si="62"/>
        <v>6643.8</v>
      </c>
      <c r="F347" s="106">
        <f t="shared" si="62"/>
        <v>653.5</v>
      </c>
      <c r="G347" s="107">
        <f t="shared" si="62"/>
        <v>297</v>
      </c>
      <c r="H347" s="108" t="s">
        <v>54</v>
      </c>
      <c r="I347" s="109"/>
      <c r="O347" s="59"/>
      <c r="P347" s="60"/>
      <c r="Q347" s="61">
        <v>20</v>
      </c>
      <c r="R347" s="62">
        <v>175</v>
      </c>
      <c r="S347" s="61"/>
      <c r="T347" s="61"/>
      <c r="U347" s="75"/>
      <c r="V347" s="76"/>
      <c r="W347" s="58"/>
      <c r="X347" s="58"/>
      <c r="Y347" s="58"/>
      <c r="AB347" s="69"/>
      <c r="AC347" s="70">
        <v>168</v>
      </c>
      <c r="AD347" s="71">
        <v>32</v>
      </c>
      <c r="AE347" s="70"/>
      <c r="AF347" s="70"/>
      <c r="AG347" s="70"/>
      <c r="AH347" s="72"/>
      <c r="AI347" s="73"/>
      <c r="AJ347" s="58"/>
      <c r="AK347" s="58"/>
      <c r="AL347" s="58"/>
      <c r="AO347" s="59"/>
      <c r="AP347" s="60"/>
      <c r="AQ347" s="61"/>
      <c r="AR347" s="62">
        <v>593</v>
      </c>
      <c r="AS347" s="61">
        <v>88.95</v>
      </c>
      <c r="AT347" s="61">
        <v>30</v>
      </c>
      <c r="AU347" s="75" t="s">
        <v>29</v>
      </c>
      <c r="AV347" s="84"/>
      <c r="AW347" s="77"/>
      <c r="AX347" s="58"/>
      <c r="AY347" s="58"/>
      <c r="BB347" s="39" t="s">
        <v>12</v>
      </c>
      <c r="BC347" s="40" t="s">
        <v>13</v>
      </c>
      <c r="BD347" s="41"/>
      <c r="BE347" s="42" t="s">
        <v>14</v>
      </c>
      <c r="BF347" s="43"/>
      <c r="BG347" s="44" t="s">
        <v>15</v>
      </c>
      <c r="BH347" s="45"/>
      <c r="BI347" s="46"/>
      <c r="BJ347" s="47" t="s">
        <v>16</v>
      </c>
      <c r="BK347" s="48"/>
      <c r="BL347" s="49">
        <f>BC369+BE369</f>
        <v>4553</v>
      </c>
    </row>
    <row r="348" ht="15.75" spans="2:64">
      <c r="O348" s="69"/>
      <c r="P348" s="71"/>
      <c r="Q348" s="71"/>
      <c r="R348" s="70">
        <v>425</v>
      </c>
      <c r="S348" s="70">
        <v>63.75</v>
      </c>
      <c r="T348" s="70"/>
      <c r="U348" s="72"/>
      <c r="V348" s="73"/>
      <c r="W348" s="58"/>
      <c r="X348" s="58"/>
      <c r="Y348" s="58"/>
      <c r="AB348" s="59"/>
      <c r="AC348" s="60">
        <v>414</v>
      </c>
      <c r="AD348" s="61">
        <v>50</v>
      </c>
      <c r="AE348" s="62"/>
      <c r="AF348" s="61"/>
      <c r="AG348" s="61"/>
      <c r="AH348" s="75"/>
      <c r="AI348" s="76"/>
      <c r="AJ348" s="58"/>
      <c r="AK348" s="58"/>
      <c r="AL348" s="58"/>
      <c r="AO348" s="69"/>
      <c r="AP348" s="70">
        <v>315</v>
      </c>
      <c r="AQ348" s="85">
        <v>35</v>
      </c>
      <c r="AR348" s="70"/>
      <c r="AS348" s="70"/>
      <c r="AT348" s="70">
        <v>2217</v>
      </c>
      <c r="AU348" s="72" t="s">
        <v>38</v>
      </c>
      <c r="AV348" s="73"/>
      <c r="AW348" s="89" t="s">
        <v>44</v>
      </c>
      <c r="AX348" s="90" t="s">
        <v>45</v>
      </c>
      <c r="AY348" s="90" t="s">
        <v>46</v>
      </c>
      <c r="BB348" s="50"/>
      <c r="BC348" s="51" t="s">
        <v>17</v>
      </c>
      <c r="BD348" s="51" t="s">
        <v>18</v>
      </c>
      <c r="BE348" s="52" t="s">
        <v>17</v>
      </c>
      <c r="BF348" s="52" t="s">
        <v>18</v>
      </c>
      <c r="BG348" s="53"/>
      <c r="BH348" s="54"/>
      <c r="BI348" s="55"/>
      <c r="BJ348" s="56" t="s">
        <v>19</v>
      </c>
      <c r="BK348" s="57"/>
      <c r="BL348" s="49">
        <f>BD369+BF369</f>
        <v>424</v>
      </c>
    </row>
    <row r="349" ht="15.75" spans="2:64">
      <c r="O349" s="59"/>
      <c r="P349" s="61"/>
      <c r="Q349" s="61"/>
      <c r="R349" s="62"/>
      <c r="S349" s="61"/>
      <c r="T349" s="61"/>
      <c r="U349" s="75"/>
      <c r="V349" s="76"/>
      <c r="W349" s="58"/>
      <c r="X349" s="58"/>
      <c r="Y349" s="58"/>
      <c r="AB349" s="69"/>
      <c r="AC349" s="71">
        <v>483</v>
      </c>
      <c r="AD349" s="71">
        <v>37</v>
      </c>
      <c r="AE349" s="70"/>
      <c r="AF349" s="70"/>
      <c r="AG349" s="70"/>
      <c r="AH349" s="72"/>
      <c r="AI349" s="73"/>
      <c r="AJ349" s="58"/>
      <c r="AK349" s="58"/>
      <c r="AL349" s="58"/>
      <c r="AO349" s="59"/>
      <c r="AP349" s="60">
        <v>15</v>
      </c>
      <c r="AQ349" s="61"/>
      <c r="AR349" s="62"/>
      <c r="AS349" s="61"/>
      <c r="AT349" s="61"/>
      <c r="AU349" s="75"/>
      <c r="AV349" s="84"/>
      <c r="AW349" s="92" t="s">
        <v>47</v>
      </c>
      <c r="AX349" s="93" t="s">
        <v>51</v>
      </c>
      <c r="AY349" s="93" t="s">
        <v>43</v>
      </c>
      <c r="BB349" s="59">
        <v>682</v>
      </c>
      <c r="BC349" s="68">
        <v>542</v>
      </c>
      <c r="BD349" s="61">
        <v>78</v>
      </c>
      <c r="BE349" s="62"/>
      <c r="BF349" s="61"/>
      <c r="BG349" s="61">
        <v>100</v>
      </c>
      <c r="BH349" s="63" t="s">
        <v>208</v>
      </c>
      <c r="BI349" s="64"/>
      <c r="BJ349" s="65" t="s">
        <v>21</v>
      </c>
      <c r="BK349" s="66"/>
      <c r="BL349" s="67">
        <f>BG369</f>
        <v>445</v>
      </c>
    </row>
    <row r="350" ht="21" customHeight="1" spans="2:64">
      <c r="B350" s="33" t="s">
        <v>209</v>
      </c>
      <c r="C350" s="34"/>
      <c r="D350" s="34"/>
      <c r="E350" s="34"/>
      <c r="F350" s="34"/>
      <c r="G350" s="34"/>
      <c r="H350" s="34"/>
      <c r="I350" s="34"/>
      <c r="J350" s="34"/>
      <c r="K350" s="34"/>
      <c r="L350" s="35"/>
      <c r="O350" s="69"/>
      <c r="P350" s="71"/>
      <c r="Q350" s="71"/>
      <c r="R350" s="70"/>
      <c r="S350" s="70"/>
      <c r="T350" s="70"/>
      <c r="U350" s="72"/>
      <c r="V350" s="73"/>
      <c r="W350" s="58"/>
      <c r="X350" s="58"/>
      <c r="Y350" s="58"/>
      <c r="AB350" s="59"/>
      <c r="AC350" s="61"/>
      <c r="AD350" s="61"/>
      <c r="AE350" s="62"/>
      <c r="AF350" s="61"/>
      <c r="AG350" s="61"/>
      <c r="AH350" s="75"/>
      <c r="AI350" s="76"/>
      <c r="AJ350" s="58"/>
      <c r="AK350" s="58"/>
      <c r="AL350" s="58"/>
      <c r="AO350" s="69"/>
      <c r="AP350" s="70"/>
      <c r="AQ350" s="85"/>
      <c r="AR350" s="70">
        <v>1027</v>
      </c>
      <c r="AS350" s="70">
        <v>102.7</v>
      </c>
      <c r="AT350" s="70"/>
      <c r="AU350" s="72"/>
      <c r="AV350" s="73"/>
      <c r="AW350" s="94" t="s">
        <v>52</v>
      </c>
      <c r="AX350" s="95" t="s">
        <v>27</v>
      </c>
      <c r="AY350" s="95" t="s">
        <v>67</v>
      </c>
      <c r="BB350" s="69"/>
      <c r="BC350" s="70">
        <v>510</v>
      </c>
      <c r="BD350" s="71">
        <v>25</v>
      </c>
      <c r="BE350" s="70"/>
      <c r="BF350" s="70"/>
      <c r="BG350" s="70">
        <v>280</v>
      </c>
      <c r="BH350" s="72" t="s">
        <v>59</v>
      </c>
      <c r="BI350" s="73"/>
      <c r="BJ350" s="74" t="s">
        <v>26</v>
      </c>
      <c r="BK350" s="57"/>
      <c r="BL350" s="49">
        <f>BB369+BL347+BL348-BL349-BE369-BF369</f>
        <v>3466</v>
      </c>
    </row>
    <row r="351" ht="15.75" spans="2:64">
      <c r="B351" s="36"/>
      <c r="C351" s="37"/>
      <c r="D351" s="37"/>
      <c r="E351" s="37"/>
      <c r="F351" s="37"/>
      <c r="G351" s="37"/>
      <c r="H351" s="37"/>
      <c r="I351" s="37"/>
      <c r="J351" s="37"/>
      <c r="K351" s="37"/>
      <c r="L351" s="38"/>
      <c r="O351" s="59"/>
      <c r="P351" s="60"/>
      <c r="Q351" s="61"/>
      <c r="R351" s="62"/>
      <c r="S351" s="61"/>
      <c r="T351" s="61"/>
      <c r="U351" s="75"/>
      <c r="V351" s="76"/>
      <c r="AB351" s="69"/>
      <c r="AC351" s="70"/>
      <c r="AD351" s="71"/>
      <c r="AE351" s="70"/>
      <c r="AF351" s="70"/>
      <c r="AG351" s="70"/>
      <c r="AH351" s="72"/>
      <c r="AI351" s="73"/>
      <c r="AJ351" s="58"/>
      <c r="AK351" s="58"/>
      <c r="AL351" s="58"/>
      <c r="AO351" s="59"/>
      <c r="AP351" s="60"/>
      <c r="AQ351" s="61">
        <v>26</v>
      </c>
      <c r="AR351" s="62">
        <v>393</v>
      </c>
      <c r="AS351" s="61"/>
      <c r="AT351" s="61"/>
      <c r="AU351" s="75"/>
      <c r="AV351" s="84"/>
      <c r="AW351" s="77"/>
      <c r="AX351" s="77"/>
      <c r="AY351" s="87"/>
      <c r="BB351" s="59"/>
      <c r="BC351" s="60">
        <v>22</v>
      </c>
      <c r="BD351" s="61"/>
      <c r="BE351" s="62"/>
      <c r="BF351" s="61"/>
      <c r="BG351" s="61">
        <v>35</v>
      </c>
      <c r="BH351" s="75" t="s">
        <v>77</v>
      </c>
      <c r="BI351" s="76"/>
      <c r="BJ351" s="77"/>
      <c r="BK351" s="78" t="s">
        <v>30</v>
      </c>
      <c r="BL351" s="79">
        <f>BL348/4</f>
        <v>106</v>
      </c>
    </row>
    <row r="352" ht="15.75" spans="2:64">
      <c r="B352" s="39" t="s">
        <v>12</v>
      </c>
      <c r="C352" s="40" t="s">
        <v>13</v>
      </c>
      <c r="D352" s="41"/>
      <c r="E352" s="42" t="s">
        <v>14</v>
      </c>
      <c r="F352" s="43"/>
      <c r="G352" s="44" t="s">
        <v>15</v>
      </c>
      <c r="H352" s="45"/>
      <c r="I352" s="46"/>
      <c r="J352" s="47" t="s">
        <v>16</v>
      </c>
      <c r="K352" s="48"/>
      <c r="L352" s="49">
        <f>C379+E379</f>
        <v>6410</v>
      </c>
      <c r="O352" s="96"/>
      <c r="P352" s="97"/>
      <c r="Q352" s="98"/>
      <c r="R352" s="99"/>
      <c r="S352" s="98"/>
      <c r="T352" s="98"/>
      <c r="U352" s="100"/>
      <c r="V352" s="101"/>
      <c r="AB352" s="59"/>
      <c r="AC352" s="60"/>
      <c r="AD352" s="61"/>
      <c r="AE352" s="62"/>
      <c r="AF352" s="61"/>
      <c r="AG352" s="61"/>
      <c r="AH352" s="75"/>
      <c r="AI352" s="76"/>
      <c r="AJ352" s="58"/>
      <c r="AK352" s="58"/>
      <c r="AL352" s="58"/>
      <c r="AO352" s="69"/>
      <c r="AP352" s="70"/>
      <c r="AQ352" s="85"/>
      <c r="AR352" s="70">
        <v>768</v>
      </c>
      <c r="AS352" s="70">
        <v>76.8</v>
      </c>
      <c r="AT352" s="70"/>
      <c r="AU352" s="72"/>
      <c r="AV352" s="73"/>
      <c r="AW352" s="58"/>
      <c r="AX352" s="58"/>
      <c r="AY352" s="58"/>
      <c r="BB352" s="69"/>
      <c r="BC352" s="70"/>
      <c r="BD352" s="71"/>
      <c r="BE352" s="70">
        <v>230</v>
      </c>
      <c r="BF352" s="70">
        <v>23</v>
      </c>
      <c r="BG352" s="70">
        <v>30</v>
      </c>
      <c r="BH352" s="72" t="s">
        <v>210</v>
      </c>
      <c r="BI352" s="73"/>
      <c r="BJ352" s="77"/>
      <c r="BK352" s="80" t="s">
        <v>34</v>
      </c>
      <c r="BL352" s="81">
        <f>BL348/6</f>
        <v>70.6666666666667</v>
      </c>
    </row>
    <row r="353" ht="15.75" spans="2:64">
      <c r="B353" s="50"/>
      <c r="C353" s="51" t="s">
        <v>17</v>
      </c>
      <c r="D353" s="51" t="s">
        <v>18</v>
      </c>
      <c r="E353" s="52" t="s">
        <v>17</v>
      </c>
      <c r="F353" s="52" t="s">
        <v>18</v>
      </c>
      <c r="G353" s="53"/>
      <c r="H353" s="54"/>
      <c r="I353" s="55"/>
      <c r="J353" s="56" t="s">
        <v>19</v>
      </c>
      <c r="K353" s="57"/>
      <c r="L353" s="49">
        <f>D379+F379</f>
        <v>751.35</v>
      </c>
      <c r="O353" s="102">
        <f t="shared" ref="O353:T353" si="63">SUM(O333:O352)</f>
        <v>497</v>
      </c>
      <c r="P353" s="103">
        <f t="shared" si="63"/>
        <v>2448</v>
      </c>
      <c r="Q353" s="104">
        <f t="shared" si="63"/>
        <v>158</v>
      </c>
      <c r="R353" s="105">
        <f t="shared" si="63"/>
        <v>1990</v>
      </c>
      <c r="S353" s="106">
        <f t="shared" si="63"/>
        <v>182.55</v>
      </c>
      <c r="T353" s="107">
        <f t="shared" si="63"/>
        <v>134</v>
      </c>
      <c r="U353" s="108" t="s">
        <v>54</v>
      </c>
      <c r="V353" s="109"/>
      <c r="AB353" s="96"/>
      <c r="AC353" s="97"/>
      <c r="AD353" s="98"/>
      <c r="AE353" s="99"/>
      <c r="AF353" s="98"/>
      <c r="AG353" s="98"/>
      <c r="AH353" s="100"/>
      <c r="AI353" s="101"/>
      <c r="AO353" s="59"/>
      <c r="AP353" s="60">
        <v>430</v>
      </c>
      <c r="AQ353" s="61">
        <v>70</v>
      </c>
      <c r="AR353" s="62"/>
      <c r="AS353" s="61"/>
      <c r="AT353" s="61"/>
      <c r="AU353" s="75"/>
      <c r="AV353" s="84"/>
      <c r="AW353" s="58"/>
      <c r="AX353" s="58"/>
      <c r="AY353" s="58"/>
      <c r="BB353" s="59"/>
      <c r="BC353" s="60"/>
      <c r="BD353" s="61"/>
      <c r="BE353" s="62">
        <v>438</v>
      </c>
      <c r="BF353" s="61">
        <v>43.8</v>
      </c>
      <c r="BG353" s="61"/>
      <c r="BH353" s="75"/>
      <c r="BI353" s="84"/>
      <c r="BJ353" s="77"/>
      <c r="BK353" s="82" t="s">
        <v>37</v>
      </c>
      <c r="BL353" s="83">
        <f>BL348/8</f>
        <v>53</v>
      </c>
    </row>
    <row r="354" ht="15.75" spans="2:64">
      <c r="B354" s="59">
        <v>7096</v>
      </c>
      <c r="C354" s="60"/>
      <c r="D354" s="61"/>
      <c r="E354" s="62">
        <v>415</v>
      </c>
      <c r="F354" s="61">
        <v>200</v>
      </c>
      <c r="G354" s="61">
        <v>50</v>
      </c>
      <c r="H354" s="63" t="s">
        <v>29</v>
      </c>
      <c r="I354" s="64"/>
      <c r="J354" s="65" t="s">
        <v>21</v>
      </c>
      <c r="K354" s="66"/>
      <c r="L354" s="67">
        <f>G379</f>
        <v>3318.37</v>
      </c>
      <c r="AB354" s="102">
        <f t="shared" ref="AB354:AG354" si="64">SUM(AB334:AB353)</f>
        <v>2187</v>
      </c>
      <c r="AC354" s="103">
        <f t="shared" si="64"/>
        <v>2622</v>
      </c>
      <c r="AD354" s="104">
        <f t="shared" si="64"/>
        <v>301</v>
      </c>
      <c r="AE354" s="105">
        <f t="shared" si="64"/>
        <v>2952</v>
      </c>
      <c r="AF354" s="106">
        <f t="shared" si="64"/>
        <v>233.4</v>
      </c>
      <c r="AG354" s="107">
        <f t="shared" si="64"/>
        <v>1071</v>
      </c>
      <c r="AH354" s="108" t="s">
        <v>54</v>
      </c>
      <c r="AI354" s="109"/>
      <c r="AO354" s="69"/>
      <c r="AP354" s="70"/>
      <c r="AQ354" s="85"/>
      <c r="AR354" s="70"/>
      <c r="AS354" s="70"/>
      <c r="AT354" s="70"/>
      <c r="AU354" s="72"/>
      <c r="AV354" s="73"/>
      <c r="AW354" s="58"/>
      <c r="AX354" s="58"/>
      <c r="AY354" s="58"/>
      <c r="BB354" s="69"/>
      <c r="BC354" s="70">
        <v>430</v>
      </c>
      <c r="BD354" s="85">
        <v>15</v>
      </c>
      <c r="BE354" s="70"/>
      <c r="BF354" s="70"/>
      <c r="BG354" s="70"/>
      <c r="BH354" s="72"/>
      <c r="BI354" s="73"/>
      <c r="BJ354" s="86"/>
      <c r="BK354" s="77"/>
      <c r="BL354" s="87"/>
    </row>
    <row r="355" ht="15.75" spans="2:64">
      <c r="B355" s="69"/>
      <c r="C355" s="70">
        <v>636</v>
      </c>
      <c r="D355" s="71">
        <v>64</v>
      </c>
      <c r="E355" s="70"/>
      <c r="F355" s="70"/>
      <c r="G355" s="70">
        <v>2000</v>
      </c>
      <c r="H355" s="72" t="s">
        <v>211</v>
      </c>
      <c r="I355" s="73"/>
      <c r="J355" s="74" t="s">
        <v>26</v>
      </c>
      <c r="K355" s="57"/>
      <c r="L355" s="49">
        <f>B379+L352+L353-L354-E379-F379</f>
        <v>7511.63</v>
      </c>
      <c r="AO355" s="59"/>
      <c r="AP355" s="60"/>
      <c r="AQ355" s="61"/>
      <c r="AR355" s="62"/>
      <c r="AS355" s="61"/>
      <c r="AT355" s="61"/>
      <c r="AU355" s="75"/>
      <c r="AV355" s="84"/>
      <c r="AW355" s="58"/>
      <c r="AX355" s="58"/>
      <c r="AY355" s="58"/>
      <c r="BB355" s="59"/>
      <c r="BC355" s="60">
        <v>235</v>
      </c>
      <c r="BD355" s="61">
        <v>40</v>
      </c>
      <c r="BE355" s="62"/>
      <c r="BF355" s="61"/>
      <c r="BG355" s="61"/>
      <c r="BH355" s="75"/>
      <c r="BI355" s="84"/>
      <c r="BJ355" s="77"/>
      <c r="BK355" s="58"/>
      <c r="BL355" s="58"/>
    </row>
    <row r="356" ht="15.75" spans="2:64">
      <c r="B356" s="59"/>
      <c r="C356" s="60">
        <v>290</v>
      </c>
      <c r="D356" s="61">
        <v>17</v>
      </c>
      <c r="E356" s="62"/>
      <c r="F356" s="61"/>
      <c r="G356" s="61">
        <v>197</v>
      </c>
      <c r="H356" s="75" t="s">
        <v>212</v>
      </c>
      <c r="I356" s="76"/>
      <c r="J356" s="77"/>
      <c r="K356" s="78" t="s">
        <v>30</v>
      </c>
      <c r="L356" s="79">
        <f>L353/4</f>
        <v>187.8375</v>
      </c>
      <c r="O356" s="33" t="s">
        <v>213</v>
      </c>
      <c r="P356" s="34"/>
      <c r="Q356" s="34"/>
      <c r="R356" s="34"/>
      <c r="S356" s="34"/>
      <c r="T356" s="34"/>
      <c r="U356" s="34"/>
      <c r="V356" s="34"/>
      <c r="W356" s="34"/>
      <c r="X356" s="34"/>
      <c r="Y356" s="35"/>
      <c r="AO356" s="69"/>
      <c r="AP356" s="70"/>
      <c r="AQ356" s="85"/>
      <c r="AR356" s="70"/>
      <c r="AS356" s="70"/>
      <c r="AT356" s="70"/>
      <c r="AU356" s="72"/>
      <c r="AV356" s="73"/>
      <c r="AW356" s="58"/>
      <c r="AX356" s="58"/>
      <c r="AY356" s="58"/>
      <c r="BB356" s="69"/>
      <c r="BC356" s="70"/>
      <c r="BD356" s="85"/>
      <c r="BE356" s="70">
        <v>176</v>
      </c>
      <c r="BF356" s="70"/>
      <c r="BG356" s="70"/>
      <c r="BH356" s="72"/>
      <c r="BI356" s="73"/>
      <c r="BJ356" s="77"/>
      <c r="BK356" s="58"/>
      <c r="BL356" s="58"/>
    </row>
    <row r="357" ht="15.75" spans="2:64">
      <c r="B357" s="69"/>
      <c r="C357" s="70">
        <v>370</v>
      </c>
      <c r="D357" s="71">
        <v>30</v>
      </c>
      <c r="E357" s="70"/>
      <c r="F357" s="70"/>
      <c r="G357" s="70">
        <v>123.8</v>
      </c>
      <c r="H357" s="72" t="s">
        <v>214</v>
      </c>
      <c r="I357" s="73"/>
      <c r="J357" s="77"/>
      <c r="K357" s="80" t="s">
        <v>34</v>
      </c>
      <c r="L357" s="81">
        <f>L353/6</f>
        <v>125.225</v>
      </c>
      <c r="O357" s="36"/>
      <c r="P357" s="37"/>
      <c r="Q357" s="37"/>
      <c r="R357" s="37"/>
      <c r="S357" s="37"/>
      <c r="T357" s="37"/>
      <c r="U357" s="37"/>
      <c r="V357" s="37"/>
      <c r="W357" s="37"/>
      <c r="X357" s="37"/>
      <c r="Y357" s="38"/>
      <c r="AB357" s="33" t="s">
        <v>215</v>
      </c>
      <c r="AC357" s="34"/>
      <c r="AD357" s="34"/>
      <c r="AE357" s="34"/>
      <c r="AF357" s="34"/>
      <c r="AG357" s="34"/>
      <c r="AH357" s="34"/>
      <c r="AI357" s="34"/>
      <c r="AJ357" s="34"/>
      <c r="AK357" s="34"/>
      <c r="AL357" s="35"/>
      <c r="AO357" s="59"/>
      <c r="AP357" s="60"/>
      <c r="AQ357" s="61"/>
      <c r="AR357" s="62"/>
      <c r="AS357" s="61"/>
      <c r="AT357" s="61"/>
      <c r="AU357" s="75"/>
      <c r="AV357" s="84"/>
      <c r="AW357" s="58"/>
      <c r="AX357" s="58"/>
      <c r="AY357" s="58"/>
      <c r="BB357" s="59"/>
      <c r="BC357" s="60">
        <v>176</v>
      </c>
      <c r="BD357" s="61"/>
      <c r="BE357" s="62"/>
      <c r="BF357" s="61"/>
      <c r="BG357" s="61"/>
      <c r="BH357" s="75"/>
      <c r="BI357" s="84"/>
      <c r="BJ357" s="77"/>
      <c r="BK357" s="58"/>
      <c r="BL357" s="58"/>
    </row>
    <row r="358" ht="15.75" spans="2:64">
      <c r="B358" s="59"/>
      <c r="C358" s="60"/>
      <c r="D358" s="61"/>
      <c r="E358" s="62">
        <v>258</v>
      </c>
      <c r="F358" s="61">
        <v>25.8</v>
      </c>
      <c r="G358" s="61">
        <v>31.4</v>
      </c>
      <c r="H358" s="75" t="s">
        <v>216</v>
      </c>
      <c r="I358" s="76"/>
      <c r="J358" s="77"/>
      <c r="K358" s="82" t="s">
        <v>37</v>
      </c>
      <c r="L358" s="83">
        <f>L353/8</f>
        <v>93.91875</v>
      </c>
      <c r="O358" s="39" t="s">
        <v>12</v>
      </c>
      <c r="P358" s="40" t="s">
        <v>13</v>
      </c>
      <c r="Q358" s="41"/>
      <c r="R358" s="42" t="s">
        <v>14</v>
      </c>
      <c r="S358" s="43"/>
      <c r="T358" s="44" t="s">
        <v>15</v>
      </c>
      <c r="U358" s="45"/>
      <c r="V358" s="46"/>
      <c r="W358" s="47" t="s">
        <v>16</v>
      </c>
      <c r="X358" s="48"/>
      <c r="Y358" s="49">
        <f>P378+R378</f>
        <v>5142</v>
      </c>
      <c r="AB358" s="36"/>
      <c r="AC358" s="37"/>
      <c r="AD358" s="37"/>
      <c r="AE358" s="37"/>
      <c r="AF358" s="37"/>
      <c r="AG358" s="37"/>
      <c r="AH358" s="37"/>
      <c r="AI358" s="37"/>
      <c r="AJ358" s="37"/>
      <c r="AK358" s="37"/>
      <c r="AL358" s="38"/>
      <c r="AO358" s="96"/>
      <c r="AP358" s="97"/>
      <c r="AQ358" s="98"/>
      <c r="AR358" s="99"/>
      <c r="AS358" s="98"/>
      <c r="AT358" s="98"/>
      <c r="AU358" s="72"/>
      <c r="AV358" s="73"/>
      <c r="BB358" s="69"/>
      <c r="BC358" s="70">
        <v>339</v>
      </c>
      <c r="BD358" s="85"/>
      <c r="BE358" s="70"/>
      <c r="BF358" s="70"/>
      <c r="BG358" s="70"/>
      <c r="BH358" s="72"/>
      <c r="BI358" s="73"/>
      <c r="BJ358" s="89" t="s">
        <v>44</v>
      </c>
      <c r="BK358" s="90" t="s">
        <v>45</v>
      </c>
      <c r="BL358" s="90" t="s">
        <v>46</v>
      </c>
    </row>
    <row r="359" ht="15.75" spans="2:64">
      <c r="B359" s="69"/>
      <c r="C359" s="70"/>
      <c r="D359" s="85"/>
      <c r="E359" s="70">
        <v>355</v>
      </c>
      <c r="F359" s="70">
        <v>17.75</v>
      </c>
      <c r="G359" s="70">
        <v>37.27</v>
      </c>
      <c r="H359" s="72" t="s">
        <v>217</v>
      </c>
      <c r="I359" s="73"/>
      <c r="J359" s="86"/>
      <c r="K359" s="77"/>
      <c r="L359" s="87"/>
      <c r="O359" s="50"/>
      <c r="P359" s="51" t="s">
        <v>17</v>
      </c>
      <c r="Q359" s="51" t="s">
        <v>18</v>
      </c>
      <c r="R359" s="52" t="s">
        <v>17</v>
      </c>
      <c r="S359" s="52" t="s">
        <v>18</v>
      </c>
      <c r="T359" s="53"/>
      <c r="U359" s="54"/>
      <c r="V359" s="55"/>
      <c r="W359" s="56" t="s">
        <v>19</v>
      </c>
      <c r="X359" s="57"/>
      <c r="Y359" s="49">
        <f>Q378+S378</f>
        <v>541.3</v>
      </c>
      <c r="AB359" s="39" t="s">
        <v>12</v>
      </c>
      <c r="AC359" s="40" t="s">
        <v>13</v>
      </c>
      <c r="AD359" s="41"/>
      <c r="AE359" s="42" t="s">
        <v>14</v>
      </c>
      <c r="AF359" s="43"/>
      <c r="AG359" s="44" t="s">
        <v>15</v>
      </c>
      <c r="AH359" s="45"/>
      <c r="AI359" s="46"/>
      <c r="AJ359" s="47" t="s">
        <v>16</v>
      </c>
      <c r="AK359" s="48"/>
      <c r="AL359" s="49">
        <f>AC390+AE390</f>
        <v>8131</v>
      </c>
      <c r="AO359" s="59"/>
      <c r="AP359" s="60"/>
      <c r="AQ359" s="61"/>
      <c r="AR359" s="62"/>
      <c r="AS359" s="61"/>
      <c r="AT359" s="61"/>
      <c r="AU359" s="75"/>
      <c r="AV359" s="76"/>
      <c r="BB359" s="59"/>
      <c r="BC359" s="60">
        <v>360</v>
      </c>
      <c r="BD359" s="61">
        <v>50</v>
      </c>
      <c r="BE359" s="62"/>
      <c r="BF359" s="61"/>
      <c r="BG359" s="61"/>
      <c r="BH359" s="75"/>
      <c r="BI359" s="84"/>
      <c r="BJ359" s="92" t="s">
        <v>47</v>
      </c>
      <c r="BK359" s="93" t="s">
        <v>27</v>
      </c>
      <c r="BL359" s="93" t="s">
        <v>43</v>
      </c>
    </row>
    <row r="360" ht="15.75" spans="2:64">
      <c r="B360" s="59"/>
      <c r="C360" s="60">
        <v>854</v>
      </c>
      <c r="D360" s="61">
        <v>46</v>
      </c>
      <c r="E360" s="62"/>
      <c r="F360" s="61"/>
      <c r="G360" s="61">
        <v>27.4</v>
      </c>
      <c r="H360" s="75" t="s">
        <v>129</v>
      </c>
      <c r="I360" s="76"/>
      <c r="J360" s="77"/>
      <c r="K360" s="58"/>
      <c r="L360" s="58"/>
      <c r="O360" s="59">
        <v>2968</v>
      </c>
      <c r="P360" s="60">
        <v>175</v>
      </c>
      <c r="Q360" s="61">
        <v>35</v>
      </c>
      <c r="R360" s="62"/>
      <c r="S360" s="61"/>
      <c r="T360" s="61">
        <v>2000</v>
      </c>
      <c r="U360" s="63" t="s">
        <v>67</v>
      </c>
      <c r="V360" s="64"/>
      <c r="W360" s="65" t="s">
        <v>21</v>
      </c>
      <c r="X360" s="66"/>
      <c r="Y360" s="67">
        <f>T378</f>
        <v>2584</v>
      </c>
      <c r="AB360" s="50"/>
      <c r="AC360" s="51" t="s">
        <v>17</v>
      </c>
      <c r="AD360" s="51" t="s">
        <v>18</v>
      </c>
      <c r="AE360" s="52" t="s">
        <v>17</v>
      </c>
      <c r="AF360" s="52" t="s">
        <v>18</v>
      </c>
      <c r="AG360" s="53"/>
      <c r="AH360" s="54"/>
      <c r="AI360" s="55"/>
      <c r="AJ360" s="56" t="s">
        <v>19</v>
      </c>
      <c r="AK360" s="57"/>
      <c r="AL360" s="49">
        <f>AD390+AF390</f>
        <v>626.3</v>
      </c>
      <c r="AO360" s="96"/>
      <c r="AP360" s="97"/>
      <c r="AQ360" s="98"/>
      <c r="AR360" s="99"/>
      <c r="AS360" s="98"/>
      <c r="AT360" s="98"/>
      <c r="AU360" s="72"/>
      <c r="AV360" s="73"/>
      <c r="BB360" s="69"/>
      <c r="BC360" s="70"/>
      <c r="BD360" s="85"/>
      <c r="BE360" s="70">
        <v>728</v>
      </c>
      <c r="BF360" s="70">
        <v>109.2</v>
      </c>
      <c r="BG360" s="70"/>
      <c r="BH360" s="72"/>
      <c r="BI360" s="73"/>
      <c r="BJ360" s="94" t="s">
        <v>52</v>
      </c>
      <c r="BK360" s="95" t="s">
        <v>48</v>
      </c>
      <c r="BL360" s="95" t="s">
        <v>65</v>
      </c>
    </row>
    <row r="361" ht="15.75" spans="2:64">
      <c r="B361" s="69"/>
      <c r="C361" s="70">
        <v>445</v>
      </c>
      <c r="D361" s="71">
        <v>30</v>
      </c>
      <c r="E361" s="70"/>
      <c r="F361" s="70"/>
      <c r="G361" s="70">
        <v>41.5</v>
      </c>
      <c r="H361" s="72" t="s">
        <v>218</v>
      </c>
      <c r="I361" s="73"/>
      <c r="J361" s="77"/>
      <c r="K361" s="58"/>
      <c r="L361" s="58"/>
      <c r="O361" s="69"/>
      <c r="P361" s="70"/>
      <c r="Q361" s="71"/>
      <c r="R361" s="70">
        <v>459</v>
      </c>
      <c r="S361" s="70">
        <v>45.9</v>
      </c>
      <c r="T361" s="70">
        <v>5</v>
      </c>
      <c r="U361" s="72" t="s">
        <v>91</v>
      </c>
      <c r="V361" s="73"/>
      <c r="W361" s="74" t="s">
        <v>26</v>
      </c>
      <c r="X361" s="57"/>
      <c r="Y361" s="49">
        <f>O378+Y358+Y359-Y360-R378-S378</f>
        <v>1982</v>
      </c>
      <c r="AB361" s="59">
        <v>557</v>
      </c>
      <c r="AC361" s="60"/>
      <c r="AD361" s="61"/>
      <c r="AE361" s="62">
        <v>369</v>
      </c>
      <c r="AF361" s="61"/>
      <c r="AG361" s="61">
        <v>152</v>
      </c>
      <c r="AH361" s="63" t="s">
        <v>28</v>
      </c>
      <c r="AI361" s="64"/>
      <c r="AJ361" s="65" t="s">
        <v>21</v>
      </c>
      <c r="AK361" s="66"/>
      <c r="AL361" s="67">
        <f>AG390</f>
        <v>640.3</v>
      </c>
      <c r="AO361" s="102">
        <f t="shared" ref="AO361:AT361" si="65">SUM(AO339:AO360)</f>
        <v>2800</v>
      </c>
      <c r="AP361" s="103">
        <f t="shared" si="65"/>
        <v>1504</v>
      </c>
      <c r="AQ361" s="104">
        <f t="shared" si="65"/>
        <v>201</v>
      </c>
      <c r="AR361" s="105">
        <f t="shared" si="65"/>
        <v>5369</v>
      </c>
      <c r="AS361" s="106">
        <f t="shared" si="65"/>
        <v>532.8</v>
      </c>
      <c r="AT361" s="107">
        <f t="shared" si="65"/>
        <v>3763</v>
      </c>
      <c r="AU361" s="108" t="s">
        <v>54</v>
      </c>
      <c r="AV361" s="109"/>
      <c r="BB361" s="59"/>
      <c r="BC361" s="60">
        <v>367</v>
      </c>
      <c r="BD361" s="61">
        <v>40</v>
      </c>
      <c r="BE361" s="62"/>
      <c r="BF361" s="61"/>
      <c r="BG361" s="61"/>
      <c r="BH361" s="75"/>
      <c r="BI361" s="84"/>
      <c r="BJ361" s="77"/>
      <c r="BK361" s="77"/>
      <c r="BL361" s="87"/>
    </row>
    <row r="362" ht="15.75" spans="2:64">
      <c r="B362" s="59"/>
      <c r="C362" s="60"/>
      <c r="D362" s="88"/>
      <c r="E362" s="62">
        <v>644</v>
      </c>
      <c r="F362" s="61">
        <v>128.8</v>
      </c>
      <c r="G362" s="61">
        <v>300</v>
      </c>
      <c r="H362" s="75" t="s">
        <v>219</v>
      </c>
      <c r="I362" s="76"/>
      <c r="J362" s="77"/>
      <c r="K362" s="58"/>
      <c r="L362" s="58"/>
      <c r="O362" s="59"/>
      <c r="P362" s="60">
        <v>136</v>
      </c>
      <c r="Q362" s="61"/>
      <c r="R362" s="62"/>
      <c r="S362" s="61"/>
      <c r="T362" s="61">
        <v>30</v>
      </c>
      <c r="U362" s="75" t="s">
        <v>29</v>
      </c>
      <c r="V362" s="76"/>
      <c r="W362" s="77"/>
      <c r="X362" s="78" t="s">
        <v>30</v>
      </c>
      <c r="Y362" s="79">
        <f>Y359/4</f>
        <v>135.325</v>
      </c>
      <c r="AB362" s="69"/>
      <c r="AC362" s="70">
        <v>157</v>
      </c>
      <c r="AD362" s="71">
        <v>25</v>
      </c>
      <c r="AE362" s="70"/>
      <c r="AF362" s="70"/>
      <c r="AG362" s="70">
        <v>140</v>
      </c>
      <c r="AH362" s="72" t="s">
        <v>63</v>
      </c>
      <c r="AI362" s="73"/>
      <c r="AJ362" s="74" t="s">
        <v>26</v>
      </c>
      <c r="AK362" s="57"/>
      <c r="AL362" s="49">
        <f>AB390+AL359+AL360-AL361-AE390-AF390</f>
        <v>3874.7</v>
      </c>
      <c r="BB362" s="69"/>
      <c r="BC362" s="70"/>
      <c r="BD362" s="85"/>
      <c r="BE362" s="70"/>
      <c r="BF362" s="70"/>
      <c r="BG362" s="70"/>
      <c r="BH362" s="72"/>
      <c r="BI362" s="73"/>
      <c r="BJ362" s="58"/>
      <c r="BK362" s="58"/>
      <c r="BL362" s="58"/>
    </row>
    <row r="363" ht="15.75" spans="2:64">
      <c r="B363" s="69"/>
      <c r="C363" s="70"/>
      <c r="D363" s="71"/>
      <c r="E363" s="70">
        <v>212</v>
      </c>
      <c r="F363" s="70">
        <v>42.4</v>
      </c>
      <c r="G363" s="70">
        <v>510</v>
      </c>
      <c r="H363" s="72" t="s">
        <v>220</v>
      </c>
      <c r="I363" s="73"/>
      <c r="J363" s="89" t="s">
        <v>44</v>
      </c>
      <c r="K363" s="90" t="s">
        <v>45</v>
      </c>
      <c r="L363" s="90" t="s">
        <v>46</v>
      </c>
      <c r="O363" s="69"/>
      <c r="P363" s="70"/>
      <c r="Q363" s="71"/>
      <c r="R363" s="70">
        <v>605</v>
      </c>
      <c r="S363" s="70">
        <v>90.75</v>
      </c>
      <c r="T363" s="70">
        <v>159</v>
      </c>
      <c r="U363" s="72" t="s">
        <v>92</v>
      </c>
      <c r="V363" s="73"/>
      <c r="W363" s="77"/>
      <c r="X363" s="80" t="s">
        <v>34</v>
      </c>
      <c r="Y363" s="81">
        <f>Y359/6</f>
        <v>90.2166666666667</v>
      </c>
      <c r="AB363" s="59"/>
      <c r="AC363" s="60">
        <v>516</v>
      </c>
      <c r="AD363" s="61">
        <v>20</v>
      </c>
      <c r="AE363" s="62"/>
      <c r="AF363" s="61"/>
      <c r="AG363" s="61">
        <v>68.3</v>
      </c>
      <c r="AH363" s="75" t="s">
        <v>42</v>
      </c>
      <c r="AI363" s="76"/>
      <c r="AJ363" s="77"/>
      <c r="AK363" s="78" t="s">
        <v>30</v>
      </c>
      <c r="AL363" s="79">
        <f>AL360/4</f>
        <v>156.575</v>
      </c>
      <c r="BB363" s="59"/>
      <c r="BC363" s="60"/>
      <c r="BD363" s="61"/>
      <c r="BE363" s="62"/>
      <c r="BF363" s="61"/>
      <c r="BG363" s="61"/>
      <c r="BH363" s="75"/>
      <c r="BI363" s="76"/>
    </row>
    <row r="364" spans="2:64">
      <c r="B364" s="59"/>
      <c r="C364" s="60">
        <v>170</v>
      </c>
      <c r="D364" s="61">
        <v>30</v>
      </c>
      <c r="E364" s="62"/>
      <c r="F364" s="61"/>
      <c r="G364" s="61"/>
      <c r="H364" s="75"/>
      <c r="I364" s="76"/>
      <c r="J364" s="92" t="s">
        <v>47</v>
      </c>
      <c r="K364" s="93" t="s">
        <v>174</v>
      </c>
      <c r="L364" s="93" t="s">
        <v>43</v>
      </c>
      <c r="O364" s="59"/>
      <c r="P364">
        <v>480</v>
      </c>
      <c r="Q364" s="61">
        <v>37</v>
      </c>
      <c r="R364" s="62"/>
      <c r="S364" s="61"/>
      <c r="T364" s="61">
        <v>390</v>
      </c>
      <c r="U364" s="75" t="s">
        <v>221</v>
      </c>
      <c r="V364" s="76"/>
      <c r="W364" s="77"/>
      <c r="X364" s="82" t="s">
        <v>37</v>
      </c>
      <c r="Y364" s="83">
        <f>Y359/8</f>
        <v>67.6625</v>
      </c>
      <c r="AB364" s="69"/>
      <c r="AC364" s="70"/>
      <c r="AD364" s="71"/>
      <c r="AE364" s="70">
        <v>368</v>
      </c>
      <c r="AF364" s="70"/>
      <c r="AG364" s="70">
        <v>280</v>
      </c>
      <c r="AH364" s="72" t="s">
        <v>59</v>
      </c>
      <c r="AI364" s="73"/>
      <c r="AJ364" s="77"/>
      <c r="AK364" s="80" t="s">
        <v>34</v>
      </c>
      <c r="AL364" s="81">
        <f>AL360/6</f>
        <v>104.383333333333</v>
      </c>
      <c r="AO364" s="33" t="s">
        <v>222</v>
      </c>
      <c r="AP364" s="34"/>
      <c r="AQ364" s="34"/>
      <c r="AR364" s="34"/>
      <c r="AS364" s="34"/>
      <c r="AT364" s="34"/>
      <c r="AU364" s="34"/>
      <c r="AV364" s="34"/>
      <c r="AW364" s="34"/>
      <c r="AX364" s="34"/>
      <c r="AY364" s="35"/>
      <c r="BB364" s="96"/>
      <c r="BC364" s="97"/>
      <c r="BD364" s="98"/>
      <c r="BE364" s="99"/>
      <c r="BF364" s="98"/>
      <c r="BG364" s="98"/>
      <c r="BH364" s="72"/>
      <c r="BI364" s="73"/>
    </row>
    <row r="365" ht="15.75" spans="2:64">
      <c r="B365" s="69"/>
      <c r="C365" s="70"/>
      <c r="D365" s="71"/>
      <c r="E365" s="70">
        <v>460</v>
      </c>
      <c r="F365" s="70">
        <v>46</v>
      </c>
      <c r="G365" s="70"/>
      <c r="H365" s="72"/>
      <c r="I365" s="73"/>
      <c r="J365" s="94" t="s">
        <v>52</v>
      </c>
      <c r="K365" s="95" t="s">
        <v>27</v>
      </c>
      <c r="L365" s="95" t="s">
        <v>223</v>
      </c>
      <c r="O365" s="69"/>
      <c r="P365" s="60"/>
      <c r="Q365" s="85"/>
      <c r="R365" s="70">
        <v>542</v>
      </c>
      <c r="S365" s="70">
        <v>54.2</v>
      </c>
      <c r="T365" s="70"/>
      <c r="U365" s="72"/>
      <c r="V365" s="73"/>
      <c r="W365" s="86"/>
      <c r="X365" s="77"/>
      <c r="Y365" s="87"/>
      <c r="AB365" s="59"/>
      <c r="AC365" s="60">
        <v>8</v>
      </c>
      <c r="AD365" s="61">
        <v>42</v>
      </c>
      <c r="AE365" s="62"/>
      <c r="AF365" s="61"/>
      <c r="AG365" s="61"/>
      <c r="AH365" s="75"/>
      <c r="AI365" s="76"/>
      <c r="AJ365" s="77"/>
      <c r="AK365" s="82" t="s">
        <v>37</v>
      </c>
      <c r="AL365" s="83">
        <f>AL360/8</f>
        <v>78.2875</v>
      </c>
      <c r="AO365" s="36"/>
      <c r="AP365" s="37"/>
      <c r="AQ365" s="37"/>
      <c r="AR365" s="37"/>
      <c r="AS365" s="37"/>
      <c r="AT365" s="37"/>
      <c r="AU365" s="37"/>
      <c r="AV365" s="37"/>
      <c r="AW365" s="37"/>
      <c r="AX365" s="37"/>
      <c r="AY365" s="38"/>
      <c r="BB365" s="59"/>
      <c r="BC365" s="60"/>
      <c r="BD365" s="61"/>
      <c r="BE365" s="62"/>
      <c r="BF365" s="61"/>
      <c r="BG365" s="61"/>
      <c r="BH365" s="75"/>
      <c r="BI365" s="76"/>
    </row>
    <row r="366" ht="15.75" spans="2:64">
      <c r="B366" s="59"/>
      <c r="C366" s="60">
        <v>170</v>
      </c>
      <c r="D366" s="61"/>
      <c r="E366" s="62"/>
      <c r="F366" s="61"/>
      <c r="G366" s="61"/>
      <c r="H366" s="75"/>
      <c r="I366" s="76"/>
      <c r="J366" s="77"/>
      <c r="K366" s="77"/>
      <c r="L366" s="87"/>
      <c r="O366" s="59"/>
      <c r="P366" s="60">
        <v>308</v>
      </c>
      <c r="Q366" s="61">
        <v>30</v>
      </c>
      <c r="R366" s="62"/>
      <c r="S366" s="61"/>
      <c r="T366" s="61"/>
      <c r="U366" s="75"/>
      <c r="V366" s="76"/>
      <c r="W366" s="77"/>
      <c r="X366" s="58"/>
      <c r="Y366" s="58"/>
      <c r="AB366" s="69"/>
      <c r="AC366" s="70">
        <v>345</v>
      </c>
      <c r="AD366" s="85">
        <v>20</v>
      </c>
      <c r="AE366" s="70"/>
      <c r="AF366" s="70"/>
      <c r="AG366" s="70"/>
      <c r="AH366" s="72"/>
      <c r="AI366" s="73"/>
      <c r="AJ366" s="86"/>
      <c r="AK366" s="77"/>
      <c r="AL366" s="87"/>
      <c r="AO366" s="39" t="s">
        <v>12</v>
      </c>
      <c r="AP366" s="40" t="s">
        <v>13</v>
      </c>
      <c r="AQ366" s="41"/>
      <c r="AR366" s="42" t="s">
        <v>14</v>
      </c>
      <c r="AS366" s="43"/>
      <c r="AT366" s="44" t="s">
        <v>15</v>
      </c>
      <c r="AU366" s="45"/>
      <c r="AV366" s="46"/>
      <c r="AW366" s="47" t="s">
        <v>16</v>
      </c>
      <c r="AX366" s="48"/>
      <c r="AY366" s="49">
        <f>AP390+AR390</f>
        <v>4602</v>
      </c>
      <c r="BB366" s="96"/>
      <c r="BC366" s="97"/>
      <c r="BD366" s="98"/>
      <c r="BE366" s="99"/>
      <c r="BF366" s="98"/>
      <c r="BG366" s="98"/>
      <c r="BH366" s="72"/>
      <c r="BI366" s="73"/>
    </row>
    <row r="367" ht="15.75" spans="2:64">
      <c r="B367" s="69"/>
      <c r="C367" s="70">
        <v>483</v>
      </c>
      <c r="D367" s="71">
        <v>17</v>
      </c>
      <c r="E367" s="70"/>
      <c r="F367" s="70"/>
      <c r="G367" s="70"/>
      <c r="H367" s="72"/>
      <c r="I367" s="73"/>
      <c r="J367" s="58"/>
      <c r="K367" s="58"/>
      <c r="L367" s="58"/>
      <c r="O367" s="69"/>
      <c r="P367" s="70"/>
      <c r="Q367" s="71"/>
      <c r="R367" s="70">
        <v>470</v>
      </c>
      <c r="S367" s="70">
        <v>47</v>
      </c>
      <c r="T367" s="70"/>
      <c r="U367" s="72"/>
      <c r="V367" s="73"/>
      <c r="W367" s="77"/>
      <c r="X367" s="58"/>
      <c r="Y367" s="58"/>
      <c r="AB367" s="59"/>
      <c r="AC367" s="60">
        <v>220</v>
      </c>
      <c r="AD367" s="61">
        <v>22</v>
      </c>
      <c r="AE367" s="62"/>
      <c r="AF367" s="61"/>
      <c r="AG367" s="61"/>
      <c r="AH367" s="75"/>
      <c r="AI367" s="76"/>
      <c r="AJ367" s="77"/>
      <c r="AK367" s="58"/>
      <c r="AL367" s="58"/>
      <c r="AO367" s="50"/>
      <c r="AP367" s="51" t="s">
        <v>17</v>
      </c>
      <c r="AQ367" s="51" t="s">
        <v>18</v>
      </c>
      <c r="AR367" s="52" t="s">
        <v>17</v>
      </c>
      <c r="AS367" s="52" t="s">
        <v>18</v>
      </c>
      <c r="AT367" s="53"/>
      <c r="AU367" s="54"/>
      <c r="AV367" s="55"/>
      <c r="AW367" s="56" t="s">
        <v>19</v>
      </c>
      <c r="AX367" s="57"/>
      <c r="AY367" s="49">
        <f>AQ390+AS390</f>
        <v>494.15</v>
      </c>
      <c r="BB367" s="59"/>
      <c r="BC367" s="60"/>
      <c r="BD367" s="61"/>
      <c r="BE367" s="62"/>
      <c r="BF367" s="61"/>
      <c r="BG367" s="61"/>
      <c r="BH367" s="75"/>
      <c r="BI367" s="76"/>
    </row>
    <row r="368" ht="15.75" spans="2:64">
      <c r="B368" s="59"/>
      <c r="C368" s="60">
        <v>82</v>
      </c>
      <c r="D368" s="61"/>
      <c r="E368" s="62"/>
      <c r="F368" s="61"/>
      <c r="G368" s="61"/>
      <c r="H368" s="75"/>
      <c r="I368" s="76"/>
      <c r="J368" s="58"/>
      <c r="K368" s="58"/>
      <c r="L368" s="58"/>
      <c r="O368" s="59"/>
      <c r="P368" s="60">
        <v>127</v>
      </c>
      <c r="Q368" s="88"/>
      <c r="R368" s="62"/>
      <c r="S368" s="61"/>
      <c r="T368" s="61"/>
      <c r="U368" s="75"/>
      <c r="V368" s="76"/>
      <c r="W368" s="77"/>
      <c r="X368" s="58"/>
      <c r="Y368" s="58"/>
      <c r="AB368" s="69"/>
      <c r="AC368" s="70">
        <v>208</v>
      </c>
      <c r="AD368" s="71"/>
      <c r="AE368" s="70">
        <v>576</v>
      </c>
      <c r="AF368" s="70">
        <v>36.4</v>
      </c>
      <c r="AG368" s="70"/>
      <c r="AH368" s="72"/>
      <c r="AI368" s="73"/>
      <c r="AJ368" s="77"/>
      <c r="AK368" s="58"/>
      <c r="AL368" s="58"/>
      <c r="AO368" s="59">
        <v>462</v>
      </c>
      <c r="AP368" s="68">
        <v>40</v>
      </c>
      <c r="AQ368" s="61"/>
      <c r="AR368" s="62"/>
      <c r="AS368" s="61"/>
      <c r="AT368" s="61">
        <v>20</v>
      </c>
      <c r="AU368" s="63" t="s">
        <v>29</v>
      </c>
      <c r="AV368" s="64"/>
      <c r="AW368" s="65" t="s">
        <v>21</v>
      </c>
      <c r="AX368" s="66"/>
      <c r="AY368" s="67">
        <f>AT390</f>
        <v>2506</v>
      </c>
      <c r="BB368" s="96"/>
      <c r="BC368" s="97"/>
      <c r="BD368" s="98"/>
      <c r="BE368" s="99"/>
      <c r="BF368" s="98"/>
      <c r="BG368" s="98"/>
      <c r="BH368" s="72"/>
      <c r="BI368" s="73"/>
    </row>
    <row r="369" ht="15.75" spans="2:64">
      <c r="B369" s="69"/>
      <c r="C369" s="71"/>
      <c r="D369" s="71"/>
      <c r="E369" s="70">
        <v>566</v>
      </c>
      <c r="F369" s="70">
        <v>56.6</v>
      </c>
      <c r="G369" s="70"/>
      <c r="H369" s="72"/>
      <c r="I369" s="73"/>
      <c r="J369" s="58"/>
      <c r="K369" s="58"/>
      <c r="L369" s="58"/>
      <c r="O369" s="69"/>
      <c r="P369" s="70"/>
      <c r="Q369" s="71"/>
      <c r="R369" s="70">
        <v>405</v>
      </c>
      <c r="S369" s="70">
        <v>40.5</v>
      </c>
      <c r="T369" s="70"/>
      <c r="U369" s="72"/>
      <c r="V369" s="73"/>
      <c r="W369" s="89" t="s">
        <v>44</v>
      </c>
      <c r="X369" s="90" t="s">
        <v>45</v>
      </c>
      <c r="Y369" s="90" t="s">
        <v>46</v>
      </c>
      <c r="AB369" s="59"/>
      <c r="AC369" s="60">
        <v>198</v>
      </c>
      <c r="AD369" s="88"/>
      <c r="AE369" s="62"/>
      <c r="AF369" s="61"/>
      <c r="AG369" s="61"/>
      <c r="AH369" s="75"/>
      <c r="AI369" s="76"/>
      <c r="AJ369" s="77"/>
      <c r="AK369" s="58"/>
      <c r="AL369" s="58"/>
      <c r="AO369" s="69">
        <v>2000</v>
      </c>
      <c r="AP369" s="70">
        <v>450</v>
      </c>
      <c r="AQ369" s="71">
        <v>50</v>
      </c>
      <c r="AR369" s="70"/>
      <c r="AS369" s="70"/>
      <c r="AT369" s="70">
        <v>140</v>
      </c>
      <c r="AU369" s="72" t="s">
        <v>63</v>
      </c>
      <c r="AV369" s="73"/>
      <c r="AW369" s="74" t="s">
        <v>26</v>
      </c>
      <c r="AX369" s="57"/>
      <c r="AY369" s="49">
        <f>AO390+AY366+AY367-AY368-AR390-AS390</f>
        <v>1841</v>
      </c>
      <c r="BB369" s="102">
        <f t="shared" ref="BB369:BG369" si="66">SUM(BB349:BB368)</f>
        <v>682</v>
      </c>
      <c r="BC369" s="103">
        <f t="shared" si="66"/>
        <v>2981</v>
      </c>
      <c r="BD369" s="104">
        <f t="shared" si="66"/>
        <v>248</v>
      </c>
      <c r="BE369" s="105">
        <f t="shared" si="66"/>
        <v>1572</v>
      </c>
      <c r="BF369" s="106">
        <f t="shared" si="66"/>
        <v>176</v>
      </c>
      <c r="BG369" s="107">
        <f t="shared" si="66"/>
        <v>445</v>
      </c>
      <c r="BH369" s="108" t="s">
        <v>54</v>
      </c>
      <c r="BI369" s="109"/>
    </row>
    <row r="370" spans="2:64">
      <c r="B370" s="59"/>
      <c r="C370" s="61"/>
      <c r="D370" s="61"/>
      <c r="E370" s="62"/>
      <c r="F370" s="61"/>
      <c r="G370" s="61"/>
      <c r="H370" s="75"/>
      <c r="I370" s="76"/>
      <c r="J370" s="58"/>
      <c r="K370" s="58"/>
      <c r="L370" s="58"/>
      <c r="O370" s="59"/>
      <c r="P370" s="60"/>
      <c r="Q370" s="61"/>
      <c r="R370" s="62">
        <v>570</v>
      </c>
      <c r="S370" s="61">
        <v>85.5</v>
      </c>
      <c r="T370" s="61"/>
      <c r="U370" s="75"/>
      <c r="V370" s="76"/>
      <c r="W370" s="92" t="s">
        <v>47</v>
      </c>
      <c r="X370" s="93" t="s">
        <v>48</v>
      </c>
      <c r="Y370" s="93" t="s">
        <v>65</v>
      </c>
      <c r="AB370" s="69"/>
      <c r="AC370" s="70"/>
      <c r="AD370" s="71"/>
      <c r="AE370" s="70">
        <v>158</v>
      </c>
      <c r="AF370" s="70">
        <v>15.8</v>
      </c>
      <c r="AG370" s="70"/>
      <c r="AH370" s="72"/>
      <c r="AI370" s="73"/>
      <c r="AJ370" s="89" t="s">
        <v>44</v>
      </c>
      <c r="AK370" s="90" t="s">
        <v>45</v>
      </c>
      <c r="AL370" s="90" t="s">
        <v>46</v>
      </c>
      <c r="AO370" s="59"/>
      <c r="AP370" s="60"/>
      <c r="AQ370" s="61"/>
      <c r="AR370" s="62">
        <v>225</v>
      </c>
      <c r="AS370" s="61">
        <v>22.5</v>
      </c>
      <c r="AT370" s="61">
        <v>2346</v>
      </c>
      <c r="AU370" s="75" t="s">
        <v>48</v>
      </c>
      <c r="AV370" s="76"/>
      <c r="AW370" s="77"/>
      <c r="AX370" s="78" t="s">
        <v>30</v>
      </c>
      <c r="AY370" s="79">
        <f>AY367/4</f>
        <v>123.5375</v>
      </c>
    </row>
    <row r="371" ht="15.75" spans="2:64">
      <c r="B371" s="69"/>
      <c r="C371" s="70"/>
      <c r="D371" s="71"/>
      <c r="E371" s="70"/>
      <c r="F371" s="70"/>
      <c r="G371" s="70"/>
      <c r="H371" s="72"/>
      <c r="I371" s="73"/>
      <c r="J371" s="58"/>
      <c r="K371" s="58"/>
      <c r="L371" s="58"/>
      <c r="O371" s="69"/>
      <c r="P371" s="70"/>
      <c r="Q371" s="71">
        <v>18</v>
      </c>
      <c r="R371" s="70">
        <v>230</v>
      </c>
      <c r="S371" s="70"/>
      <c r="T371" s="70"/>
      <c r="U371" s="72"/>
      <c r="V371" s="73"/>
      <c r="W371" s="94" t="s">
        <v>52</v>
      </c>
      <c r="X371" s="95" t="s">
        <v>27</v>
      </c>
      <c r="Y371" s="95" t="s">
        <v>43</v>
      </c>
      <c r="AB371" s="59"/>
      <c r="AC371" s="60">
        <v>8</v>
      </c>
      <c r="AD371" s="61"/>
      <c r="AE371" s="62"/>
      <c r="AF371" s="61"/>
      <c r="AG371" s="61"/>
      <c r="AH371" s="75"/>
      <c r="AI371" s="76"/>
      <c r="AJ371" s="92" t="s">
        <v>47</v>
      </c>
      <c r="AK371" s="93" t="s">
        <v>48</v>
      </c>
      <c r="AL371" s="93" t="s">
        <v>65</v>
      </c>
      <c r="AO371" s="69"/>
      <c r="AP371" s="70"/>
      <c r="AQ371" s="71"/>
      <c r="AR371" s="70">
        <v>197</v>
      </c>
      <c r="AS371" s="70">
        <v>19.7</v>
      </c>
      <c r="AT371" s="70"/>
      <c r="AU371" s="72"/>
      <c r="AV371" s="73"/>
      <c r="AW371" s="77"/>
      <c r="AX371" s="80" t="s">
        <v>34</v>
      </c>
      <c r="AY371" s="81">
        <f>AY367/6</f>
        <v>82.3583333333333</v>
      </c>
    </row>
    <row r="372" spans="2:64">
      <c r="B372" s="59"/>
      <c r="C372" s="60"/>
      <c r="D372" s="61"/>
      <c r="E372" s="62"/>
      <c r="F372" s="61"/>
      <c r="G372" s="61"/>
      <c r="H372" s="75"/>
      <c r="I372" s="76"/>
      <c r="O372" s="59"/>
      <c r="P372" s="60">
        <v>252</v>
      </c>
      <c r="Q372" s="61"/>
      <c r="R372" s="62"/>
      <c r="S372" s="61"/>
      <c r="T372" s="61"/>
      <c r="U372" s="75"/>
      <c r="V372" s="76"/>
      <c r="W372" s="77"/>
      <c r="X372" s="77"/>
      <c r="Y372" s="87"/>
      <c r="AB372" s="69"/>
      <c r="AC372" s="70"/>
      <c r="AD372" s="71">
        <v>65</v>
      </c>
      <c r="AE372" s="70">
        <v>675</v>
      </c>
      <c r="AF372" s="70"/>
      <c r="AG372" s="70"/>
      <c r="AH372" s="72"/>
      <c r="AI372" s="73"/>
      <c r="AJ372" s="94" t="s">
        <v>52</v>
      </c>
      <c r="AK372" s="95" t="s">
        <v>27</v>
      </c>
      <c r="AL372" s="95" t="s">
        <v>43</v>
      </c>
      <c r="AO372" s="59"/>
      <c r="AP372" s="60">
        <v>470</v>
      </c>
      <c r="AQ372" s="61">
        <v>50</v>
      </c>
      <c r="AR372" s="62"/>
      <c r="AS372" s="61"/>
      <c r="AT372" s="61"/>
      <c r="AU372" s="75"/>
      <c r="AV372" s="84"/>
      <c r="AW372" s="77"/>
      <c r="AX372" s="82" t="s">
        <v>37</v>
      </c>
      <c r="AY372" s="83">
        <f>AY367/8</f>
        <v>61.76875</v>
      </c>
      <c r="BB372" s="33" t="s">
        <v>224</v>
      </c>
      <c r="BC372" s="34"/>
      <c r="BD372" s="34"/>
      <c r="BE372" s="34"/>
      <c r="BF372" s="34"/>
      <c r="BG372" s="34"/>
      <c r="BH372" s="34"/>
      <c r="BI372" s="34"/>
      <c r="BJ372" s="34"/>
      <c r="BK372" s="34"/>
      <c r="BL372" s="35"/>
    </row>
    <row r="373" ht="15.75" spans="2:64">
      <c r="B373" s="69"/>
      <c r="C373" s="112"/>
      <c r="D373" s="71"/>
      <c r="E373" s="58"/>
      <c r="F373" s="70"/>
      <c r="G373" s="70"/>
      <c r="H373" s="72"/>
      <c r="I373" s="73"/>
      <c r="O373" s="69"/>
      <c r="P373" s="70"/>
      <c r="Q373" s="71"/>
      <c r="R373" s="70">
        <v>383</v>
      </c>
      <c r="S373" s="70">
        <v>57.45</v>
      </c>
      <c r="T373" s="70"/>
      <c r="U373" s="72"/>
      <c r="V373" s="73"/>
      <c r="W373" s="58"/>
      <c r="X373" s="58"/>
      <c r="Y373" s="58"/>
      <c r="AB373" s="59"/>
      <c r="AC373" s="60"/>
      <c r="AD373" s="61"/>
      <c r="AE373" s="62">
        <v>376</v>
      </c>
      <c r="AF373" s="61">
        <v>37.6</v>
      </c>
      <c r="AG373" s="61"/>
      <c r="AH373" s="75"/>
      <c r="AI373" s="76"/>
      <c r="AJ373" s="77"/>
      <c r="AK373" s="77"/>
      <c r="AL373" s="87"/>
      <c r="AO373" s="69"/>
      <c r="AP373" s="70"/>
      <c r="AQ373" s="85"/>
      <c r="AR373" s="70">
        <v>378</v>
      </c>
      <c r="AS373" s="70">
        <v>37.8</v>
      </c>
      <c r="AT373" s="70"/>
      <c r="AU373" s="72"/>
      <c r="AV373" s="73"/>
      <c r="AW373" s="86"/>
      <c r="AX373" s="77"/>
      <c r="AY373" s="87"/>
      <c r="BB373" s="36"/>
      <c r="BC373" s="37"/>
      <c r="BD373" s="37"/>
      <c r="BE373" s="37"/>
      <c r="BF373" s="37"/>
      <c r="BG373" s="37"/>
      <c r="BH373" s="37"/>
      <c r="BI373" s="37"/>
      <c r="BJ373" s="37"/>
      <c r="BK373" s="37"/>
      <c r="BL373" s="38"/>
    </row>
    <row r="374" ht="15.75" spans="2:64">
      <c r="B374" s="59"/>
      <c r="C374" s="60"/>
      <c r="D374" s="61"/>
      <c r="E374" s="62"/>
      <c r="F374" s="61"/>
      <c r="G374" s="61"/>
      <c r="H374" s="75"/>
      <c r="I374" s="76"/>
      <c r="O374" s="59"/>
      <c r="P374" s="60"/>
      <c r="Q374" s="61"/>
      <c r="R374" s="62"/>
      <c r="S374" s="61"/>
      <c r="T374" s="61"/>
      <c r="U374" s="75"/>
      <c r="V374" s="76"/>
      <c r="W374" s="58"/>
      <c r="X374" s="58"/>
      <c r="Y374" s="58"/>
      <c r="AB374" s="69"/>
      <c r="AC374" s="70"/>
      <c r="AD374" s="71"/>
      <c r="AE374" s="70">
        <v>629</v>
      </c>
      <c r="AF374" s="70">
        <v>62.9</v>
      </c>
      <c r="AG374" s="70"/>
      <c r="AH374" s="72"/>
      <c r="AI374" s="73"/>
      <c r="AJ374" s="58"/>
      <c r="AK374" s="58"/>
      <c r="AL374" s="58"/>
      <c r="AO374" s="59"/>
      <c r="AP374" s="60"/>
      <c r="AQ374" s="61">
        <v>76</v>
      </c>
      <c r="AR374" s="62">
        <v>513</v>
      </c>
      <c r="AS374" s="61"/>
      <c r="AT374" s="61"/>
      <c r="AU374" s="75"/>
      <c r="AV374" s="84"/>
      <c r="AW374" s="77"/>
      <c r="AX374" s="58"/>
      <c r="AY374" s="58"/>
      <c r="BB374" s="39" t="s">
        <v>12</v>
      </c>
      <c r="BC374" s="40" t="s">
        <v>13</v>
      </c>
      <c r="BD374" s="41"/>
      <c r="BE374" s="42" t="s">
        <v>14</v>
      </c>
      <c r="BF374" s="43"/>
      <c r="BG374" s="44" t="s">
        <v>15</v>
      </c>
      <c r="BH374" s="45"/>
      <c r="BI374" s="46"/>
      <c r="BJ374" s="47" t="s">
        <v>16</v>
      </c>
      <c r="BK374" s="48"/>
      <c r="BL374" s="49">
        <f>BC396+BE396</f>
        <v>9411</v>
      </c>
    </row>
    <row r="375" ht="15.75" spans="2:64">
      <c r="B375" s="96"/>
      <c r="C375" s="97"/>
      <c r="D375" s="98"/>
      <c r="E375" s="99"/>
      <c r="F375" s="98"/>
      <c r="G375" s="98"/>
      <c r="H375" s="72"/>
      <c r="I375" s="73"/>
      <c r="O375" s="69"/>
      <c r="P375" s="71"/>
      <c r="Q375" s="71"/>
      <c r="R375" s="70"/>
      <c r="S375" s="70"/>
      <c r="T375" s="70"/>
      <c r="U375" s="72"/>
      <c r="V375" s="73"/>
      <c r="W375" s="58"/>
      <c r="X375" s="58"/>
      <c r="Y375" s="58"/>
      <c r="AB375" s="59"/>
      <c r="AC375" s="60"/>
      <c r="AD375" s="61"/>
      <c r="AE375" s="62">
        <v>137</v>
      </c>
      <c r="AF375" s="61"/>
      <c r="AG375" s="61"/>
      <c r="AH375" s="75"/>
      <c r="AI375" s="76"/>
      <c r="AJ375" s="58"/>
      <c r="AK375" s="58"/>
      <c r="AL375" s="58"/>
      <c r="AO375" s="69"/>
      <c r="AP375" s="70">
        <v>558</v>
      </c>
      <c r="AQ375" s="85">
        <v>42</v>
      </c>
      <c r="AR375" s="70"/>
      <c r="AS375" s="70"/>
      <c r="AT375" s="70"/>
      <c r="AU375" s="72"/>
      <c r="AV375" s="73"/>
      <c r="AW375" s="77"/>
      <c r="AX375" s="58"/>
      <c r="AY375" s="58"/>
      <c r="BB375" s="50"/>
      <c r="BC375" s="51" t="s">
        <v>17</v>
      </c>
      <c r="BD375" s="51" t="s">
        <v>18</v>
      </c>
      <c r="BE375" s="52" t="s">
        <v>17</v>
      </c>
      <c r="BF375" s="52" t="s">
        <v>18</v>
      </c>
      <c r="BG375" s="53"/>
      <c r="BH375" s="54"/>
      <c r="BI375" s="55"/>
      <c r="BJ375" s="56" t="s">
        <v>19</v>
      </c>
      <c r="BK375" s="57"/>
      <c r="BL375" s="49">
        <f>BD396+BF396</f>
        <v>590</v>
      </c>
    </row>
    <row r="376" ht="15.75" spans="2:64">
      <c r="B376" s="59"/>
      <c r="C376" s="60"/>
      <c r="D376" s="61"/>
      <c r="E376" s="62"/>
      <c r="F376" s="61"/>
      <c r="G376" s="61"/>
      <c r="H376" s="75"/>
      <c r="I376" s="76"/>
      <c r="O376" s="59"/>
      <c r="P376" s="60"/>
      <c r="Q376" s="61"/>
      <c r="R376" s="62"/>
      <c r="S376" s="61"/>
      <c r="T376" s="61"/>
      <c r="U376" s="75"/>
      <c r="V376" s="76"/>
      <c r="AB376" s="69"/>
      <c r="AC376" s="71">
        <v>654</v>
      </c>
      <c r="AD376" s="71">
        <v>46</v>
      </c>
      <c r="AE376" s="70"/>
      <c r="AF376" s="70"/>
      <c r="AG376" s="70"/>
      <c r="AH376" s="72"/>
      <c r="AI376" s="73"/>
      <c r="AJ376" s="58"/>
      <c r="AK376" s="58"/>
      <c r="AL376" s="58"/>
      <c r="AO376" s="59"/>
      <c r="AP376" s="60"/>
      <c r="AQ376" s="61"/>
      <c r="AR376" s="62">
        <v>312</v>
      </c>
      <c r="AS376" s="61">
        <v>46.8</v>
      </c>
      <c r="AT376" s="61"/>
      <c r="AU376" s="75"/>
      <c r="AV376" s="84"/>
      <c r="AW376" s="77"/>
      <c r="AX376" s="58"/>
      <c r="AY376" s="58"/>
      <c r="BB376" s="59">
        <v>1967</v>
      </c>
      <c r="BC376" s="68">
        <v>274</v>
      </c>
      <c r="BD376" s="61"/>
      <c r="BE376" s="62"/>
      <c r="BF376" s="61"/>
      <c r="BG376" s="61">
        <v>25</v>
      </c>
      <c r="BH376" s="63" t="s">
        <v>29</v>
      </c>
      <c r="BI376" s="64"/>
      <c r="BJ376" s="65" t="s">
        <v>21</v>
      </c>
      <c r="BK376" s="66"/>
      <c r="BL376" s="67">
        <f>BG396</f>
        <v>1442</v>
      </c>
    </row>
    <row r="377" ht="15.75" spans="2:64">
      <c r="B377" s="59"/>
      <c r="C377" s="60"/>
      <c r="D377" s="61"/>
      <c r="E377" s="62"/>
      <c r="F377" s="61"/>
      <c r="G377" s="61"/>
      <c r="H377" s="75"/>
      <c r="I377" s="76"/>
      <c r="O377" s="96"/>
      <c r="P377" s="97"/>
      <c r="Q377" s="98"/>
      <c r="R377" s="99"/>
      <c r="S377" s="98"/>
      <c r="T377" s="98"/>
      <c r="U377" s="100"/>
      <c r="V377" s="101"/>
      <c r="AB377" s="59"/>
      <c r="AC377" s="61">
        <v>16</v>
      </c>
      <c r="AD377" s="61"/>
      <c r="AE377" s="62"/>
      <c r="AF377" s="61"/>
      <c r="AG377" s="61"/>
      <c r="AH377" s="75"/>
      <c r="AI377" s="76"/>
      <c r="AJ377" s="58"/>
      <c r="AK377" s="58"/>
      <c r="AL377" s="58"/>
      <c r="AO377" s="69"/>
      <c r="AP377" s="70"/>
      <c r="AQ377" s="85"/>
      <c r="AR377" s="70">
        <v>367</v>
      </c>
      <c r="AS377" s="70">
        <v>55.05</v>
      </c>
      <c r="AT377" s="70"/>
      <c r="AU377" s="72"/>
      <c r="AV377" s="73"/>
      <c r="AW377" s="89" t="s">
        <v>44</v>
      </c>
      <c r="AX377" s="90" t="s">
        <v>45</v>
      </c>
      <c r="AY377" s="90" t="s">
        <v>46</v>
      </c>
      <c r="BB377" s="69"/>
      <c r="BC377" s="70">
        <v>618</v>
      </c>
      <c r="BD377" s="71"/>
      <c r="BE377" s="70"/>
      <c r="BF377" s="70"/>
      <c r="BG377" s="70">
        <v>3</v>
      </c>
      <c r="BH377" s="72" t="s">
        <v>225</v>
      </c>
      <c r="BI377" s="73"/>
      <c r="BJ377" s="74" t="s">
        <v>26</v>
      </c>
      <c r="BK377" s="57"/>
      <c r="BL377" s="49">
        <f>BB396+BL374+BL375-BL376-BE396-BF396</f>
        <v>3688</v>
      </c>
    </row>
    <row r="378" ht="20" customHeight="1" spans="2:64">
      <c r="B378" s="69"/>
      <c r="C378" s="112"/>
      <c r="D378" s="71"/>
      <c r="E378" s="58"/>
      <c r="F378" s="70"/>
      <c r="G378" s="70"/>
      <c r="H378" s="72"/>
      <c r="I378" s="73"/>
      <c r="O378" s="102">
        <f t="shared" ref="O378:T378" si="67">SUM(O360:O377)</f>
        <v>2968</v>
      </c>
      <c r="P378" s="103">
        <f t="shared" si="67"/>
        <v>1478</v>
      </c>
      <c r="Q378" s="104">
        <f t="shared" si="67"/>
        <v>120</v>
      </c>
      <c r="R378" s="105">
        <f t="shared" si="67"/>
        <v>3664</v>
      </c>
      <c r="S378" s="106">
        <f t="shared" si="67"/>
        <v>421.3</v>
      </c>
      <c r="T378" s="107">
        <f t="shared" si="67"/>
        <v>2584</v>
      </c>
      <c r="U378" s="108" t="s">
        <v>54</v>
      </c>
      <c r="V378" s="109"/>
      <c r="AB378" s="69"/>
      <c r="AC378" s="70">
        <v>475</v>
      </c>
      <c r="AD378" s="71">
        <v>50</v>
      </c>
      <c r="AE378" s="70"/>
      <c r="AF378" s="70"/>
      <c r="AG378" s="70"/>
      <c r="AH378" s="72"/>
      <c r="AI378" s="73"/>
      <c r="AJ378" s="58"/>
      <c r="AK378" s="58"/>
      <c r="AL378" s="58"/>
      <c r="AO378" s="59"/>
      <c r="AP378" s="60"/>
      <c r="AQ378" s="61"/>
      <c r="AR378" s="62">
        <v>253</v>
      </c>
      <c r="AS378" s="61">
        <v>25.3</v>
      </c>
      <c r="AT378" s="61"/>
      <c r="AU378" s="75"/>
      <c r="AV378" s="84"/>
      <c r="AW378" s="92" t="s">
        <v>47</v>
      </c>
      <c r="AX378" s="93" t="s">
        <v>51</v>
      </c>
      <c r="AY378" s="93" t="s">
        <v>43</v>
      </c>
      <c r="BB378" s="59"/>
      <c r="BC378" s="60">
        <v>127</v>
      </c>
      <c r="BD378" s="61"/>
      <c r="BE378" s="62"/>
      <c r="BF378" s="61"/>
      <c r="BG378" s="61">
        <v>20</v>
      </c>
      <c r="BH378" s="75" t="s">
        <v>226</v>
      </c>
      <c r="BI378" s="76"/>
      <c r="BJ378" s="77"/>
      <c r="BK378" s="78" t="s">
        <v>30</v>
      </c>
      <c r="BL378" s="79">
        <f>BL375/4</f>
        <v>147.5</v>
      </c>
    </row>
    <row r="379" ht="15.75" spans="2:64">
      <c r="B379" s="102">
        <f t="shared" ref="B379:G379" si="68">SUM(B354:B378)</f>
        <v>7096</v>
      </c>
      <c r="C379" s="103">
        <f t="shared" si="68"/>
        <v>3500</v>
      </c>
      <c r="D379" s="104">
        <f t="shared" si="68"/>
        <v>234</v>
      </c>
      <c r="E379" s="105">
        <f t="shared" si="68"/>
        <v>2910</v>
      </c>
      <c r="F379" s="106">
        <f t="shared" si="68"/>
        <v>517.35</v>
      </c>
      <c r="G379" s="107">
        <f t="shared" si="68"/>
        <v>3318.37</v>
      </c>
      <c r="H379" s="108" t="s">
        <v>54</v>
      </c>
      <c r="I379" s="109"/>
      <c r="AB379" s="59"/>
      <c r="AC379" s="60"/>
      <c r="AD379" s="61"/>
      <c r="AE379" s="62">
        <v>170</v>
      </c>
      <c r="AF379" s="61">
        <v>25.5</v>
      </c>
      <c r="AG379" s="61"/>
      <c r="AH379" s="75"/>
      <c r="AI379" s="76"/>
      <c r="AJ379" s="58"/>
      <c r="AK379" s="58"/>
      <c r="AL379" s="58"/>
      <c r="AO379" s="69"/>
      <c r="AP379" s="70"/>
      <c r="AQ379" s="85"/>
      <c r="AR379" s="70">
        <v>220</v>
      </c>
      <c r="AS379" s="70">
        <v>22</v>
      </c>
      <c r="AT379" s="70"/>
      <c r="AU379" s="72"/>
      <c r="AV379" s="73"/>
      <c r="AW379" s="94" t="s">
        <v>52</v>
      </c>
      <c r="AX379" s="95" t="s">
        <v>27</v>
      </c>
      <c r="AY379" s="95" t="s">
        <v>67</v>
      </c>
      <c r="BB379" s="69"/>
      <c r="BC379" s="70"/>
      <c r="BD379" s="71"/>
      <c r="BE379" s="70">
        <v>127</v>
      </c>
      <c r="BF379" s="70"/>
      <c r="BG379" s="70">
        <v>140</v>
      </c>
      <c r="BH379" s="72" t="s">
        <v>227</v>
      </c>
      <c r="BI379" s="73"/>
      <c r="BJ379" s="77"/>
      <c r="BK379" s="80" t="s">
        <v>34</v>
      </c>
      <c r="BL379" s="81">
        <f>BL375/6</f>
        <v>98.3333333333333</v>
      </c>
    </row>
    <row r="380" ht="15.75" spans="2:64">
      <c r="AB380" s="69"/>
      <c r="AC380" s="70"/>
      <c r="AD380" s="71"/>
      <c r="AE380" s="70">
        <v>481</v>
      </c>
      <c r="AF380" s="70">
        <v>48.1</v>
      </c>
      <c r="AG380" s="70"/>
      <c r="AH380" s="72"/>
      <c r="AI380" s="73"/>
      <c r="AJ380" s="58"/>
      <c r="AO380" s="59"/>
      <c r="AP380" s="60"/>
      <c r="AQ380" s="61"/>
      <c r="AR380" s="62">
        <v>470</v>
      </c>
      <c r="AS380" s="61">
        <v>47</v>
      </c>
      <c r="AT380" s="61"/>
      <c r="AU380" s="75"/>
      <c r="AV380" s="84"/>
      <c r="AW380" s="77"/>
      <c r="AX380" s="77"/>
      <c r="AY380" s="87"/>
      <c r="BB380" s="59"/>
      <c r="BC380" s="60">
        <v>108</v>
      </c>
      <c r="BD380" s="61"/>
      <c r="BE380" s="62"/>
      <c r="BF380" s="61"/>
      <c r="BG380" s="61">
        <v>20</v>
      </c>
      <c r="BH380" s="75" t="s">
        <v>42</v>
      </c>
      <c r="BI380" s="84"/>
      <c r="BJ380" s="77"/>
      <c r="BK380" s="82" t="s">
        <v>37</v>
      </c>
      <c r="BL380" s="83">
        <f>BL375/8</f>
        <v>73.75</v>
      </c>
    </row>
    <row r="381" ht="15.75" spans="2:64">
      <c r="O381" s="33" t="s">
        <v>228</v>
      </c>
      <c r="P381" s="34"/>
      <c r="Q381" s="34"/>
      <c r="R381" s="34"/>
      <c r="S381" s="34"/>
      <c r="T381" s="34"/>
      <c r="U381" s="34"/>
      <c r="V381" s="34"/>
      <c r="W381" s="34"/>
      <c r="X381" s="34"/>
      <c r="Y381" s="35"/>
      <c r="AB381" s="59"/>
      <c r="AC381" s="60">
        <v>55</v>
      </c>
      <c r="AD381" s="61"/>
      <c r="AE381" s="62"/>
      <c r="AF381" s="61"/>
      <c r="AG381" s="61"/>
      <c r="AH381" s="75"/>
      <c r="AI381" s="76"/>
      <c r="AJ381" s="58"/>
      <c r="AO381" s="69"/>
      <c r="AP381" s="70">
        <v>30</v>
      </c>
      <c r="AQ381" s="85"/>
      <c r="AR381" s="70"/>
      <c r="AS381" s="70"/>
      <c r="AT381" s="70"/>
      <c r="AU381" s="72"/>
      <c r="AV381" s="73"/>
      <c r="AW381" s="58"/>
      <c r="AX381" s="58"/>
      <c r="AY381" s="58"/>
      <c r="BB381" s="69"/>
      <c r="BC381" s="70"/>
      <c r="BD381" s="85"/>
      <c r="BE381" s="70">
        <v>721</v>
      </c>
      <c r="BF381" s="70">
        <v>108.15</v>
      </c>
      <c r="BG381" s="70">
        <v>900</v>
      </c>
      <c r="BH381" s="72" t="s">
        <v>39</v>
      </c>
      <c r="BI381" s="73"/>
      <c r="BJ381" s="86"/>
      <c r="BK381" s="77"/>
      <c r="BL381" s="87"/>
    </row>
    <row r="382" ht="22" customHeight="1" spans="2:64">
      <c r="B382" s="33" t="s">
        <v>229</v>
      </c>
      <c r="C382" s="34"/>
      <c r="D382" s="34"/>
      <c r="E382" s="34"/>
      <c r="F382" s="34"/>
      <c r="G382" s="34"/>
      <c r="H382" s="34"/>
      <c r="I382" s="34"/>
      <c r="J382" s="34"/>
      <c r="K382" s="34"/>
      <c r="L382" s="35"/>
      <c r="O382" s="36"/>
      <c r="P382" s="37"/>
      <c r="Q382" s="37"/>
      <c r="R382" s="37"/>
      <c r="S382" s="37"/>
      <c r="T382" s="37"/>
      <c r="U382" s="37"/>
      <c r="V382" s="37"/>
      <c r="W382" s="37"/>
      <c r="X382" s="37"/>
      <c r="Y382" s="38"/>
      <c r="AB382" s="69"/>
      <c r="AC382" s="70">
        <v>683</v>
      </c>
      <c r="AD382" s="71">
        <v>60</v>
      </c>
      <c r="AE382" s="70"/>
      <c r="AF382" s="70"/>
      <c r="AG382" s="70"/>
      <c r="AH382" s="72"/>
      <c r="AI382" s="73"/>
      <c r="AJ382" s="58"/>
      <c r="AO382" s="59"/>
      <c r="AP382" s="60">
        <v>55</v>
      </c>
      <c r="AQ382" s="61"/>
      <c r="AR382" s="62"/>
      <c r="AS382" s="61"/>
      <c r="AT382" s="61"/>
      <c r="AU382" s="75"/>
      <c r="AV382" s="84"/>
      <c r="AW382" s="58"/>
      <c r="AX382" s="58"/>
      <c r="AY382" s="58"/>
      <c r="BB382" s="59"/>
      <c r="BC382" s="60"/>
      <c r="BD382" s="61"/>
      <c r="BE382" s="62">
        <v>203</v>
      </c>
      <c r="BF382" s="61">
        <v>20.3</v>
      </c>
      <c r="BG382" s="61">
        <v>334</v>
      </c>
      <c r="BH382" s="75" t="s">
        <v>139</v>
      </c>
      <c r="BI382" s="84"/>
      <c r="BJ382" s="77"/>
      <c r="BK382" s="58"/>
      <c r="BL382" s="58"/>
    </row>
    <row r="383" ht="15.75" spans="2:64">
      <c r="B383" s="36"/>
      <c r="C383" s="37"/>
      <c r="D383" s="37"/>
      <c r="E383" s="37"/>
      <c r="F383" s="37"/>
      <c r="G383" s="37"/>
      <c r="H383" s="37"/>
      <c r="I383" s="37"/>
      <c r="J383" s="37"/>
      <c r="K383" s="37"/>
      <c r="L383" s="38"/>
      <c r="O383" s="39" t="s">
        <v>12</v>
      </c>
      <c r="P383" s="40" t="s">
        <v>13</v>
      </c>
      <c r="Q383" s="41"/>
      <c r="R383" s="42" t="s">
        <v>14</v>
      </c>
      <c r="S383" s="43"/>
      <c r="T383" s="44" t="s">
        <v>15</v>
      </c>
      <c r="U383" s="45"/>
      <c r="V383" s="46"/>
      <c r="W383" s="47" t="s">
        <v>16</v>
      </c>
      <c r="X383" s="48"/>
      <c r="Y383" s="49">
        <f>P410+R410</f>
        <v>7406</v>
      </c>
      <c r="AB383" s="59"/>
      <c r="AC383" s="60">
        <v>15</v>
      </c>
      <c r="AD383" s="61"/>
      <c r="AE383" s="62"/>
      <c r="AF383" s="61"/>
      <c r="AG383" s="61"/>
      <c r="AH383" s="75"/>
      <c r="AI383" s="76"/>
      <c r="AJ383" s="58"/>
      <c r="AO383" s="69"/>
      <c r="AP383" s="70">
        <v>64</v>
      </c>
      <c r="AQ383" s="85"/>
      <c r="AR383" s="70"/>
      <c r="AS383" s="70"/>
      <c r="AT383" s="70"/>
      <c r="AU383" s="72"/>
      <c r="AV383" s="73"/>
      <c r="AW383" s="58"/>
      <c r="AX383" s="58"/>
      <c r="AY383" s="58"/>
      <c r="BB383" s="69"/>
      <c r="BC383" s="70">
        <v>455</v>
      </c>
      <c r="BD383" s="85">
        <v>45</v>
      </c>
      <c r="BE383" s="70"/>
      <c r="BF383" s="70"/>
      <c r="BG383" s="70"/>
      <c r="BH383" s="72"/>
      <c r="BI383" s="73"/>
      <c r="BJ383" s="77"/>
      <c r="BK383" s="58"/>
      <c r="BL383" s="58"/>
    </row>
    <row r="384" ht="15.75" spans="2:64">
      <c r="B384" s="39" t="s">
        <v>12</v>
      </c>
      <c r="C384" s="40" t="s">
        <v>13</v>
      </c>
      <c r="D384" s="41"/>
      <c r="E384" s="42" t="s">
        <v>14</v>
      </c>
      <c r="F384" s="43"/>
      <c r="G384" s="44" t="s">
        <v>15</v>
      </c>
      <c r="H384" s="45"/>
      <c r="I384" s="46"/>
      <c r="J384" s="47" t="s">
        <v>16</v>
      </c>
      <c r="K384" s="48"/>
      <c r="L384" s="49">
        <f>C411+E411</f>
        <v>3673</v>
      </c>
      <c r="O384" s="50"/>
      <c r="P384" s="51" t="s">
        <v>17</v>
      </c>
      <c r="Q384" s="51" t="s">
        <v>18</v>
      </c>
      <c r="R384" s="52" t="s">
        <v>17</v>
      </c>
      <c r="S384" s="52" t="s">
        <v>18</v>
      </c>
      <c r="T384" s="53"/>
      <c r="U384" s="54"/>
      <c r="V384" s="55"/>
      <c r="W384" s="56" t="s">
        <v>19</v>
      </c>
      <c r="X384" s="57"/>
      <c r="Y384" s="49">
        <f>Q410+S410</f>
        <v>775.35</v>
      </c>
      <c r="AB384" s="69"/>
      <c r="AC384" s="70"/>
      <c r="AD384" s="71">
        <v>50</v>
      </c>
      <c r="AE384" s="70">
        <v>634</v>
      </c>
      <c r="AF384" s="70"/>
      <c r="AG384" s="70"/>
      <c r="AH384" s="72"/>
      <c r="AI384" s="73"/>
      <c r="AJ384" s="58"/>
      <c r="AO384" s="59"/>
      <c r="AP384" s="60"/>
      <c r="AQ384" s="61"/>
      <c r="AR384" s="62"/>
      <c r="AS384" s="61"/>
      <c r="AT384" s="61"/>
      <c r="AU384" s="75"/>
      <c r="AV384" s="84"/>
      <c r="AW384" s="58"/>
      <c r="AX384" s="58"/>
      <c r="AY384" s="58"/>
      <c r="BB384" s="59"/>
      <c r="BC384" s="60"/>
      <c r="BD384" s="61"/>
      <c r="BE384" s="62">
        <v>2038</v>
      </c>
      <c r="BF384" s="61"/>
      <c r="BG384" s="61"/>
      <c r="BH384" s="75"/>
      <c r="BI384" s="84"/>
      <c r="BJ384" s="77"/>
      <c r="BK384" s="58"/>
      <c r="BL384" s="58"/>
    </row>
    <row r="385" ht="20" customHeight="1" spans="2:64">
      <c r="B385" s="50"/>
      <c r="C385" s="51" t="s">
        <v>17</v>
      </c>
      <c r="D385" s="51" t="s">
        <v>18</v>
      </c>
      <c r="E385" s="52" t="s">
        <v>17</v>
      </c>
      <c r="F385" s="52" t="s">
        <v>18</v>
      </c>
      <c r="G385" s="53"/>
      <c r="H385" s="54"/>
      <c r="I385" s="55"/>
      <c r="J385" s="56" t="s">
        <v>19</v>
      </c>
      <c r="K385" s="57"/>
      <c r="L385" s="49">
        <f>D411+F411</f>
        <v>380.1</v>
      </c>
      <c r="O385" s="59">
        <v>1182</v>
      </c>
      <c r="P385" s="60"/>
      <c r="Q385" s="61"/>
      <c r="R385" s="62">
        <v>450</v>
      </c>
      <c r="S385" s="61">
        <v>67.5</v>
      </c>
      <c r="T385" s="61">
        <v>326</v>
      </c>
      <c r="U385" s="63" t="s">
        <v>230</v>
      </c>
      <c r="V385" s="64"/>
      <c r="W385" s="65" t="s">
        <v>21</v>
      </c>
      <c r="X385" s="66"/>
      <c r="Y385" s="67">
        <f>T410</f>
        <v>2413.31</v>
      </c>
      <c r="AB385" s="59"/>
      <c r="AC385" s="60"/>
      <c r="AD385" s="61"/>
      <c r="AE385" s="62"/>
      <c r="AF385" s="61"/>
      <c r="AG385" s="61"/>
      <c r="AH385" s="75"/>
      <c r="AI385" s="76"/>
      <c r="AJ385" s="58"/>
      <c r="AO385" s="69"/>
      <c r="AP385" s="70"/>
      <c r="AQ385" s="85"/>
      <c r="AR385" s="70"/>
      <c r="AS385" s="70"/>
      <c r="AT385" s="70"/>
      <c r="AU385" s="72"/>
      <c r="AV385" s="73"/>
      <c r="AW385" s="58"/>
      <c r="AX385" s="58"/>
      <c r="AY385" s="58"/>
      <c r="BB385" s="69"/>
      <c r="BC385" s="70">
        <v>235</v>
      </c>
      <c r="BD385" s="85">
        <v>6</v>
      </c>
      <c r="BE385" s="70"/>
      <c r="BF385" s="70"/>
      <c r="BG385" s="70"/>
      <c r="BH385" s="72"/>
      <c r="BI385" s="73"/>
      <c r="BJ385" s="89" t="s">
        <v>44</v>
      </c>
      <c r="BK385" s="90" t="s">
        <v>45</v>
      </c>
      <c r="BL385" s="90" t="s">
        <v>46</v>
      </c>
    </row>
    <row r="386" ht="15.75" spans="2:64">
      <c r="B386" s="59">
        <v>3514</v>
      </c>
      <c r="C386" s="60">
        <v>20</v>
      </c>
      <c r="D386" s="61"/>
      <c r="E386" s="62"/>
      <c r="F386" s="61"/>
      <c r="G386" s="61">
        <v>30</v>
      </c>
      <c r="H386" s="63" t="s">
        <v>29</v>
      </c>
      <c r="I386" s="64"/>
      <c r="J386" s="65" t="s">
        <v>21</v>
      </c>
      <c r="K386" s="66"/>
      <c r="L386" s="67">
        <f>G411</f>
        <v>5179</v>
      </c>
      <c r="O386" s="69">
        <v>1800</v>
      </c>
      <c r="P386" s="70"/>
      <c r="Q386" s="71"/>
      <c r="R386" s="70">
        <v>170</v>
      </c>
      <c r="S386" s="70">
        <v>17</v>
      </c>
      <c r="T386" s="70">
        <v>145</v>
      </c>
      <c r="U386" s="72" t="s">
        <v>89</v>
      </c>
      <c r="V386" s="73"/>
      <c r="W386" s="74" t="s">
        <v>26</v>
      </c>
      <c r="X386" s="57"/>
      <c r="Y386" s="49">
        <f>O410+Y383+Y384-Y385-R410-S410</f>
        <v>2584.69</v>
      </c>
      <c r="AB386" s="69"/>
      <c r="AC386" s="70"/>
      <c r="AD386" s="71"/>
      <c r="AE386" s="70"/>
      <c r="AF386" s="70"/>
      <c r="AG386" s="70"/>
      <c r="AH386" s="72"/>
      <c r="AI386" s="73"/>
      <c r="AJ386" s="58"/>
      <c r="AO386" s="59"/>
      <c r="AP386" s="60"/>
      <c r="AQ386" s="61"/>
      <c r="AR386" s="62"/>
      <c r="AS386" s="61"/>
      <c r="AT386" s="61"/>
      <c r="AU386" s="75"/>
      <c r="AV386" s="84"/>
      <c r="AW386" s="58"/>
      <c r="AX386" s="58"/>
      <c r="AY386" s="58"/>
      <c r="BB386" s="59"/>
      <c r="BC386" s="60"/>
      <c r="BD386" s="61">
        <v>20</v>
      </c>
      <c r="BE386" s="62">
        <v>507</v>
      </c>
      <c r="BF386" s="61"/>
      <c r="BG386" s="61"/>
      <c r="BH386" s="75"/>
      <c r="BI386" s="84"/>
      <c r="BJ386" s="92" t="s">
        <v>47</v>
      </c>
      <c r="BK386" s="93" t="s">
        <v>27</v>
      </c>
      <c r="BL386" s="93" t="s">
        <v>43</v>
      </c>
    </row>
    <row r="387" ht="15.75" spans="2:64">
      <c r="B387" s="69">
        <v>20</v>
      </c>
      <c r="C387" s="70">
        <v>412</v>
      </c>
      <c r="D387" s="71">
        <v>50</v>
      </c>
      <c r="E387" s="70"/>
      <c r="F387" s="70"/>
      <c r="G387" s="70">
        <v>2027</v>
      </c>
      <c r="H387" s="72" t="s">
        <v>31</v>
      </c>
      <c r="I387" s="73"/>
      <c r="J387" s="74" t="s">
        <v>26</v>
      </c>
      <c r="K387" s="57"/>
      <c r="L387" s="49">
        <f>B411+L384+L385-L386-E411-F411</f>
        <v>420</v>
      </c>
      <c r="O387" s="59"/>
      <c r="P387" s="60">
        <v>154</v>
      </c>
      <c r="Q387" s="61"/>
      <c r="R387" s="62"/>
      <c r="S387" s="61"/>
      <c r="T387" s="61">
        <v>30</v>
      </c>
      <c r="U387" s="75" t="s">
        <v>29</v>
      </c>
      <c r="V387" s="76"/>
      <c r="W387" s="77"/>
      <c r="X387" s="78" t="s">
        <v>30</v>
      </c>
      <c r="Y387" s="79">
        <f>Y384/4</f>
        <v>193.8375</v>
      </c>
      <c r="AB387" s="59"/>
      <c r="AC387" s="60"/>
      <c r="AD387" s="61"/>
      <c r="AE387" s="62"/>
      <c r="AF387" s="61"/>
      <c r="AG387" s="61"/>
      <c r="AH387" s="75"/>
      <c r="AI387" s="76"/>
      <c r="AO387" s="96"/>
      <c r="AP387" s="97"/>
      <c r="AQ387" s="98"/>
      <c r="AR387" s="99"/>
      <c r="AS387" s="98"/>
      <c r="AT387" s="98"/>
      <c r="AU387" s="72"/>
      <c r="AV387" s="73"/>
      <c r="BB387" s="69"/>
      <c r="BC387" s="70"/>
      <c r="BD387" s="85">
        <v>18</v>
      </c>
      <c r="BE387" s="70">
        <v>208</v>
      </c>
      <c r="BF387" s="70"/>
      <c r="BG387" s="70"/>
      <c r="BH387" s="72"/>
      <c r="BI387" s="73"/>
      <c r="BJ387" s="94" t="s">
        <v>52</v>
      </c>
      <c r="BK387" s="95" t="s">
        <v>48</v>
      </c>
      <c r="BL387" s="95" t="s">
        <v>65</v>
      </c>
    </row>
    <row r="388" spans="2:64">
      <c r="B388" s="59">
        <v>50</v>
      </c>
      <c r="C388" s="60"/>
      <c r="D388" s="61"/>
      <c r="E388" s="62">
        <v>546</v>
      </c>
      <c r="F388" s="61">
        <v>54.6</v>
      </c>
      <c r="G388" s="61">
        <v>2622</v>
      </c>
      <c r="H388" s="75" t="s">
        <v>50</v>
      </c>
      <c r="I388" s="76"/>
      <c r="J388" s="77"/>
      <c r="K388" s="78" t="s">
        <v>30</v>
      </c>
      <c r="L388" s="79">
        <f>L385/4</f>
        <v>95.025</v>
      </c>
      <c r="O388" s="69"/>
      <c r="P388" s="70">
        <v>258</v>
      </c>
      <c r="Q388" s="71">
        <v>22</v>
      </c>
      <c r="R388" s="70"/>
      <c r="S388" s="70"/>
      <c r="T388" s="70">
        <v>328</v>
      </c>
      <c r="U388" s="72" t="s">
        <v>231</v>
      </c>
      <c r="V388" s="73"/>
      <c r="W388" s="77"/>
      <c r="X388" s="80" t="s">
        <v>34</v>
      </c>
      <c r="Y388" s="81">
        <f>Y384/6</f>
        <v>129.225</v>
      </c>
      <c r="AB388" s="69"/>
      <c r="AC388" s="70"/>
      <c r="AD388" s="71"/>
      <c r="AE388" s="70"/>
      <c r="AF388" s="70"/>
      <c r="AG388" s="70"/>
      <c r="AH388" s="72"/>
      <c r="AI388" s="73"/>
      <c r="AO388" s="59"/>
      <c r="AP388" s="60"/>
      <c r="AQ388" s="61"/>
      <c r="AR388" s="62"/>
      <c r="AS388" s="61"/>
      <c r="AT388" s="61"/>
      <c r="AU388" s="75"/>
      <c r="AV388" s="76"/>
      <c r="BB388" s="59"/>
      <c r="BC388" s="60"/>
      <c r="BD388" s="61"/>
      <c r="BE388" s="62">
        <v>152</v>
      </c>
      <c r="BF388" s="61"/>
      <c r="BG388" s="61"/>
      <c r="BH388" s="75"/>
      <c r="BI388" s="84"/>
      <c r="BJ388" s="77"/>
      <c r="BK388" s="77"/>
      <c r="BL388" s="87"/>
    </row>
    <row r="389" ht="15.75" spans="2:64">
      <c r="B389" s="69"/>
      <c r="C389" s="70">
        <v>483</v>
      </c>
      <c r="D389" s="71">
        <v>24</v>
      </c>
      <c r="E389" s="70"/>
      <c r="F389" s="70"/>
      <c r="G389" s="70">
        <v>500</v>
      </c>
      <c r="H389" s="72" t="s">
        <v>66</v>
      </c>
      <c r="I389" s="73"/>
      <c r="J389" s="77"/>
      <c r="K389" s="80" t="s">
        <v>34</v>
      </c>
      <c r="L389" s="81">
        <f>L385/6</f>
        <v>63.35</v>
      </c>
      <c r="O389" s="59"/>
      <c r="P389">
        <v>358</v>
      </c>
      <c r="Q389" s="61">
        <v>15</v>
      </c>
      <c r="R389" s="62"/>
      <c r="S389" s="61"/>
      <c r="T389" s="61">
        <v>1500</v>
      </c>
      <c r="U389" s="75" t="s">
        <v>39</v>
      </c>
      <c r="V389" s="76"/>
      <c r="W389" s="77"/>
      <c r="X389" s="82" t="s">
        <v>37</v>
      </c>
      <c r="Y389" s="83">
        <f>Y384/8</f>
        <v>96.91875</v>
      </c>
      <c r="AB389" s="59"/>
      <c r="AC389" s="60"/>
      <c r="AD389" s="61"/>
      <c r="AE389" s="62"/>
      <c r="AF389" s="61"/>
      <c r="AG389" s="61"/>
      <c r="AH389" s="75"/>
      <c r="AI389" s="76"/>
      <c r="AO389" s="96"/>
      <c r="AP389" s="97"/>
      <c r="AQ389" s="98"/>
      <c r="AR389" s="99"/>
      <c r="AS389" s="98"/>
      <c r="AT389" s="98"/>
      <c r="AU389" s="72"/>
      <c r="AV389" s="73"/>
      <c r="BB389" s="69"/>
      <c r="BC389" s="70">
        <v>702</v>
      </c>
      <c r="BD389" s="85">
        <v>55</v>
      </c>
      <c r="BE389" s="70"/>
      <c r="BF389" s="70"/>
      <c r="BG389" s="70"/>
      <c r="BH389" s="72"/>
      <c r="BI389" s="73"/>
      <c r="BJ389" s="58"/>
      <c r="BK389" s="58"/>
      <c r="BL389" s="58"/>
    </row>
    <row r="390" ht="15.75" spans="2:64">
      <c r="B390" s="59"/>
      <c r="C390" s="60"/>
      <c r="D390" s="61"/>
      <c r="E390" s="62">
        <v>317</v>
      </c>
      <c r="F390" s="61">
        <v>63.4</v>
      </c>
      <c r="G390" s="61"/>
      <c r="H390" s="75"/>
      <c r="I390" s="76"/>
      <c r="J390" s="77"/>
      <c r="K390" s="82" t="s">
        <v>37</v>
      </c>
      <c r="L390" s="83">
        <f>L385/8</f>
        <v>47.5125</v>
      </c>
      <c r="O390" s="69"/>
      <c r="P390" s="60"/>
      <c r="Q390" s="85"/>
      <c r="R390" s="70">
        <v>438</v>
      </c>
      <c r="S390" s="70">
        <v>65.7</v>
      </c>
      <c r="T390" s="70">
        <v>26</v>
      </c>
      <c r="U390" s="72" t="s">
        <v>42</v>
      </c>
      <c r="V390" s="73"/>
      <c r="W390" s="86"/>
      <c r="X390" s="77"/>
      <c r="Y390" s="87"/>
      <c r="AB390" s="102">
        <f t="shared" ref="AB390:AG390" si="69">SUM(AB361:AB389)</f>
        <v>557</v>
      </c>
      <c r="AC390" s="103">
        <f t="shared" si="69"/>
        <v>3558</v>
      </c>
      <c r="AD390" s="104">
        <f t="shared" si="69"/>
        <v>400</v>
      </c>
      <c r="AE390" s="105">
        <f t="shared" si="69"/>
        <v>4573</v>
      </c>
      <c r="AF390" s="106">
        <f t="shared" si="69"/>
        <v>226.3</v>
      </c>
      <c r="AG390" s="107">
        <f t="shared" si="69"/>
        <v>640.3</v>
      </c>
      <c r="AH390" s="108" t="s">
        <v>54</v>
      </c>
      <c r="AI390" s="109"/>
      <c r="AO390" s="102">
        <f t="shared" ref="AO390:AT390" si="70">SUM(AO368:AO389)</f>
        <v>2462</v>
      </c>
      <c r="AP390" s="103">
        <f t="shared" si="70"/>
        <v>1667</v>
      </c>
      <c r="AQ390" s="104">
        <f t="shared" si="70"/>
        <v>218</v>
      </c>
      <c r="AR390" s="105">
        <f t="shared" si="70"/>
        <v>2935</v>
      </c>
      <c r="AS390" s="106">
        <f t="shared" si="70"/>
        <v>276.15</v>
      </c>
      <c r="AT390" s="107">
        <f t="shared" si="70"/>
        <v>2506</v>
      </c>
      <c r="AU390" s="108" t="s">
        <v>54</v>
      </c>
      <c r="AV390" s="109"/>
      <c r="BB390" s="59"/>
      <c r="BC390" s="60"/>
      <c r="BD390" s="61">
        <v>60</v>
      </c>
      <c r="BE390" s="62">
        <v>506</v>
      </c>
      <c r="BF390" s="61"/>
      <c r="BG390" s="61"/>
      <c r="BH390" s="75"/>
      <c r="BI390" s="76"/>
    </row>
    <row r="391" spans="2:64">
      <c r="B391" s="69"/>
      <c r="C391" s="70">
        <v>220</v>
      </c>
      <c r="D391" s="85">
        <v>22</v>
      </c>
      <c r="E391" s="70"/>
      <c r="F391" s="70"/>
      <c r="G391" s="70"/>
      <c r="H391" s="72"/>
      <c r="I391" s="73"/>
      <c r="J391" s="86"/>
      <c r="K391" s="77"/>
      <c r="L391" s="87"/>
      <c r="O391" s="59"/>
      <c r="P391" s="60"/>
      <c r="Q391" s="61"/>
      <c r="R391" s="62">
        <v>488</v>
      </c>
      <c r="S391" s="61">
        <v>48.8</v>
      </c>
      <c r="T391" s="61">
        <v>7.21</v>
      </c>
      <c r="U391" s="75" t="s">
        <v>232</v>
      </c>
      <c r="V391" s="76"/>
      <c r="W391" s="77"/>
      <c r="X391" s="58"/>
      <c r="Y391" s="58"/>
      <c r="BB391" s="96"/>
      <c r="BC391" s="97">
        <v>371</v>
      </c>
      <c r="BD391" s="98">
        <v>69</v>
      </c>
      <c r="BE391" s="99">
        <v>455</v>
      </c>
      <c r="BF391" s="98"/>
      <c r="BG391" s="98"/>
      <c r="BH391" s="72"/>
      <c r="BI391" s="73"/>
    </row>
    <row r="392" ht="15.75" spans="2:64">
      <c r="B392" s="59"/>
      <c r="C392" s="60"/>
      <c r="D392" s="61"/>
      <c r="E392" s="62">
        <v>961</v>
      </c>
      <c r="F392" s="61">
        <v>96.1</v>
      </c>
      <c r="G392" s="61"/>
      <c r="H392" s="75"/>
      <c r="I392" s="76"/>
      <c r="J392" s="77"/>
      <c r="K392" s="58"/>
      <c r="L392" s="58"/>
      <c r="O392" s="69"/>
      <c r="P392" s="70"/>
      <c r="Q392" s="71"/>
      <c r="R392" s="70">
        <v>370</v>
      </c>
      <c r="S392" s="70">
        <v>37</v>
      </c>
      <c r="T392" s="70">
        <v>51.1</v>
      </c>
      <c r="U392" s="72" t="s">
        <v>233</v>
      </c>
      <c r="V392" s="73"/>
      <c r="W392" s="77"/>
      <c r="X392" s="58"/>
      <c r="Y392" s="58"/>
      <c r="BB392" s="59"/>
      <c r="BC392" s="60"/>
      <c r="BD392" s="61"/>
      <c r="BE392" s="62">
        <v>563</v>
      </c>
      <c r="BF392" s="61">
        <v>84.45</v>
      </c>
      <c r="BG392" s="61"/>
      <c r="BH392" s="75"/>
      <c r="BI392" s="76"/>
    </row>
    <row r="393" spans="2:64">
      <c r="B393" s="69"/>
      <c r="C393" s="70">
        <v>264</v>
      </c>
      <c r="D393" s="71">
        <v>20</v>
      </c>
      <c r="E393" s="70"/>
      <c r="F393" s="70"/>
      <c r="G393" s="70"/>
      <c r="H393" s="72"/>
      <c r="I393" s="73"/>
      <c r="J393" s="77"/>
      <c r="K393" s="58"/>
      <c r="L393" s="58"/>
      <c r="O393" s="59"/>
      <c r="P393" s="60">
        <v>187</v>
      </c>
      <c r="Q393" s="88">
        <v>19</v>
      </c>
      <c r="R393" s="62"/>
      <c r="S393" s="61"/>
      <c r="T393" s="61"/>
      <c r="U393" s="75"/>
      <c r="V393" s="76"/>
      <c r="W393" s="77"/>
      <c r="X393" s="58"/>
      <c r="Y393" s="58"/>
      <c r="AB393" s="33" t="s">
        <v>234</v>
      </c>
      <c r="AC393" s="34"/>
      <c r="AD393" s="34"/>
      <c r="AE393" s="34"/>
      <c r="AF393" s="34"/>
      <c r="AG393" s="34"/>
      <c r="AH393" s="34"/>
      <c r="AI393" s="34"/>
      <c r="AJ393" s="34"/>
      <c r="AK393" s="34"/>
      <c r="AL393" s="35"/>
      <c r="BB393" s="96"/>
      <c r="BC393" s="97"/>
      <c r="BD393" s="98"/>
      <c r="BE393" s="99">
        <v>503</v>
      </c>
      <c r="BF393" s="98">
        <v>50.3</v>
      </c>
      <c r="BG393" s="98"/>
      <c r="BH393" s="72"/>
      <c r="BI393" s="73"/>
    </row>
    <row r="394" ht="15.75" spans="2:64">
      <c r="B394" s="59"/>
      <c r="C394" s="60">
        <v>450</v>
      </c>
      <c r="D394" s="88">
        <v>50</v>
      </c>
      <c r="E394" s="62"/>
      <c r="F394" s="61"/>
      <c r="G394" s="61"/>
      <c r="H394" s="75"/>
      <c r="I394" s="76"/>
      <c r="J394" s="77"/>
      <c r="K394" s="58"/>
      <c r="L394" s="58"/>
      <c r="O394" s="69"/>
      <c r="P394" s="70"/>
      <c r="Q394" s="71"/>
      <c r="R394" s="70">
        <v>175</v>
      </c>
      <c r="S394" s="70"/>
      <c r="T394" s="70"/>
      <c r="U394" s="72"/>
      <c r="V394" s="73"/>
      <c r="W394" s="89" t="s">
        <v>44</v>
      </c>
      <c r="X394" s="90" t="s">
        <v>45</v>
      </c>
      <c r="Y394" s="90" t="s">
        <v>46</v>
      </c>
      <c r="AB394" s="36"/>
      <c r="AC394" s="37"/>
      <c r="AD394" s="37"/>
      <c r="AE394" s="37"/>
      <c r="AF394" s="37"/>
      <c r="AG394" s="37"/>
      <c r="AH394" s="37"/>
      <c r="AI394" s="37"/>
      <c r="AJ394" s="37"/>
      <c r="AK394" s="37"/>
      <c r="AL394" s="38"/>
      <c r="BB394" s="59"/>
      <c r="BC394" s="60"/>
      <c r="BD394" s="61"/>
      <c r="BE394" s="62">
        <v>538</v>
      </c>
      <c r="BF394" s="61">
        <v>53.8</v>
      </c>
      <c r="BG394" s="61"/>
      <c r="BH394" s="75"/>
      <c r="BI394" s="76"/>
    </row>
    <row r="395" ht="15.75" spans="2:64">
      <c r="B395" s="69"/>
      <c r="C395" s="70"/>
      <c r="D395" s="71"/>
      <c r="E395" s="70"/>
      <c r="F395" s="70"/>
      <c r="G395" s="70"/>
      <c r="H395" s="72"/>
      <c r="I395" s="73"/>
      <c r="J395" s="89" t="s">
        <v>44</v>
      </c>
      <c r="K395" s="90" t="s">
        <v>45</v>
      </c>
      <c r="L395" s="90" t="s">
        <v>46</v>
      </c>
      <c r="O395" s="59"/>
      <c r="P395" s="60">
        <v>220</v>
      </c>
      <c r="Q395" s="61"/>
      <c r="R395" s="62"/>
      <c r="S395" s="61"/>
      <c r="T395" s="61"/>
      <c r="U395" s="75"/>
      <c r="V395" s="76"/>
      <c r="W395" s="92" t="s">
        <v>47</v>
      </c>
      <c r="X395" s="93" t="s">
        <v>48</v>
      </c>
      <c r="Y395" s="93" t="s">
        <v>65</v>
      </c>
      <c r="AB395" s="39" t="s">
        <v>12</v>
      </c>
      <c r="AC395" s="40" t="s">
        <v>13</v>
      </c>
      <c r="AD395" s="41"/>
      <c r="AE395" s="42" t="s">
        <v>14</v>
      </c>
      <c r="AF395" s="43"/>
      <c r="AG395" s="44" t="s">
        <v>15</v>
      </c>
      <c r="AH395" s="45"/>
      <c r="AI395" s="46"/>
      <c r="AJ395" s="47" t="s">
        <v>16</v>
      </c>
      <c r="AK395" s="48"/>
      <c r="AL395" s="49">
        <f>AC415+AE415</f>
        <v>6455</v>
      </c>
      <c r="AO395" s="33" t="s">
        <v>235</v>
      </c>
      <c r="AP395" s="34"/>
      <c r="AQ395" s="34"/>
      <c r="AR395" s="34"/>
      <c r="AS395" s="34"/>
      <c r="AT395" s="34"/>
      <c r="AU395" s="34"/>
      <c r="AV395" s="34"/>
      <c r="AW395" s="34"/>
      <c r="AX395" s="34"/>
      <c r="AY395" s="35"/>
      <c r="BB395" s="96"/>
      <c r="BC395" s="97"/>
      <c r="BD395" s="98"/>
      <c r="BE395" s="99"/>
      <c r="BF395" s="98"/>
      <c r="BG395" s="98"/>
      <c r="BH395" s="72"/>
      <c r="BI395" s="73"/>
    </row>
    <row r="396" ht="15.75" spans="2:64">
      <c r="B396" s="59"/>
      <c r="C396" s="60"/>
      <c r="D396" s="61"/>
      <c r="E396" s="62"/>
      <c r="F396" s="61"/>
      <c r="G396" s="61"/>
      <c r="H396" s="75"/>
      <c r="I396" s="76"/>
      <c r="J396" s="92" t="s">
        <v>47</v>
      </c>
      <c r="K396" s="93" t="s">
        <v>48</v>
      </c>
      <c r="L396" s="93" t="s">
        <v>39</v>
      </c>
      <c r="O396" s="69"/>
      <c r="P396" s="70"/>
      <c r="Q396" s="71">
        <v>100</v>
      </c>
      <c r="R396" s="70">
        <v>715</v>
      </c>
      <c r="S396" s="70"/>
      <c r="T396" s="70"/>
      <c r="U396" s="72"/>
      <c r="V396" s="73"/>
      <c r="W396" s="94" t="s">
        <v>52</v>
      </c>
      <c r="X396" s="95" t="s">
        <v>27</v>
      </c>
      <c r="Y396" s="95" t="s">
        <v>43</v>
      </c>
      <c r="AB396" s="50"/>
      <c r="AC396" s="51" t="s">
        <v>17</v>
      </c>
      <c r="AD396" s="51" t="s">
        <v>18</v>
      </c>
      <c r="AE396" s="52" t="s">
        <v>17</v>
      </c>
      <c r="AF396" s="52" t="s">
        <v>18</v>
      </c>
      <c r="AG396" s="53"/>
      <c r="AH396" s="54"/>
      <c r="AI396" s="55"/>
      <c r="AJ396" s="56" t="s">
        <v>19</v>
      </c>
      <c r="AK396" s="57"/>
      <c r="AL396" s="49">
        <f>AD415+AF415</f>
        <v>603.15</v>
      </c>
      <c r="AO396" s="36"/>
      <c r="AP396" s="37"/>
      <c r="AQ396" s="37"/>
      <c r="AR396" s="37"/>
      <c r="AS396" s="37"/>
      <c r="AT396" s="37"/>
      <c r="AU396" s="37"/>
      <c r="AV396" s="37"/>
      <c r="AW396" s="37"/>
      <c r="AX396" s="37"/>
      <c r="AY396" s="38"/>
      <c r="BB396" s="102">
        <f t="shared" ref="BB396:BG396" si="71">SUM(BB376:BB395)</f>
        <v>1967</v>
      </c>
      <c r="BC396" s="103">
        <f t="shared" si="71"/>
        <v>2890</v>
      </c>
      <c r="BD396" s="104">
        <f t="shared" si="71"/>
        <v>273</v>
      </c>
      <c r="BE396" s="105">
        <f t="shared" si="71"/>
        <v>6521</v>
      </c>
      <c r="BF396" s="106">
        <f t="shared" si="71"/>
        <v>317</v>
      </c>
      <c r="BG396" s="107">
        <f t="shared" si="71"/>
        <v>1442</v>
      </c>
      <c r="BH396" s="108" t="s">
        <v>54</v>
      </c>
      <c r="BI396" s="109"/>
    </row>
    <row r="397" ht="15.75" spans="2:64">
      <c r="B397" s="69"/>
      <c r="C397" s="70"/>
      <c r="D397" s="71"/>
      <c r="E397" s="70"/>
      <c r="F397" s="70"/>
      <c r="G397" s="70"/>
      <c r="H397" s="72"/>
      <c r="I397" s="73"/>
      <c r="J397" s="94" t="s">
        <v>52</v>
      </c>
      <c r="K397" s="95" t="s">
        <v>27</v>
      </c>
      <c r="L397" s="95" t="s">
        <v>66</v>
      </c>
      <c r="O397" s="59"/>
      <c r="P397" s="60">
        <v>298</v>
      </c>
      <c r="Q397" s="61">
        <v>32</v>
      </c>
      <c r="R397" s="62"/>
      <c r="S397" s="61"/>
      <c r="T397" s="61"/>
      <c r="U397" s="75"/>
      <c r="V397" s="76"/>
      <c r="W397" s="77"/>
      <c r="X397" s="77"/>
      <c r="Y397" s="87"/>
      <c r="AB397" s="59">
        <v>3875</v>
      </c>
      <c r="AC397" s="60"/>
      <c r="AD397" s="61"/>
      <c r="AE397" s="62">
        <v>137</v>
      </c>
      <c r="AF397" s="61">
        <v>20.55</v>
      </c>
      <c r="AG397" s="61">
        <v>25</v>
      </c>
      <c r="AH397" s="63" t="s">
        <v>23</v>
      </c>
      <c r="AI397" s="64"/>
      <c r="AJ397" s="65" t="s">
        <v>21</v>
      </c>
      <c r="AK397" s="66"/>
      <c r="AL397" s="67">
        <f>AG415</f>
        <v>5040</v>
      </c>
      <c r="AO397" s="39" t="s">
        <v>12</v>
      </c>
      <c r="AP397" s="40" t="s">
        <v>13</v>
      </c>
      <c r="AQ397" s="41"/>
      <c r="AR397" s="42" t="s">
        <v>14</v>
      </c>
      <c r="AS397" s="43"/>
      <c r="AT397" s="44" t="s">
        <v>15</v>
      </c>
      <c r="AU397" s="45"/>
      <c r="AV397" s="46"/>
      <c r="AW397" s="47" t="s">
        <v>16</v>
      </c>
      <c r="AX397" s="48"/>
      <c r="AY397" s="49">
        <f>AP421+AR421</f>
        <v>4907</v>
      </c>
    </row>
    <row r="398" ht="15.75" spans="2:64">
      <c r="B398" s="59"/>
      <c r="C398" s="60"/>
      <c r="D398" s="61"/>
      <c r="E398" s="62"/>
      <c r="F398" s="61"/>
      <c r="G398" s="61"/>
      <c r="H398" s="75"/>
      <c r="I398" s="76"/>
      <c r="J398" s="77"/>
      <c r="K398" s="77"/>
      <c r="L398" s="87"/>
      <c r="O398" s="69"/>
      <c r="P398" s="70">
        <v>175</v>
      </c>
      <c r="Q398" s="71"/>
      <c r="R398" s="70"/>
      <c r="S398" s="70"/>
      <c r="T398" s="70"/>
      <c r="U398" s="72"/>
      <c r="V398" s="73"/>
      <c r="W398" s="58"/>
      <c r="X398" s="58"/>
      <c r="Y398" s="58"/>
      <c r="AB398" s="69"/>
      <c r="AC398" s="70">
        <v>137</v>
      </c>
      <c r="AD398" s="71">
        <v>20</v>
      </c>
      <c r="AE398" s="70"/>
      <c r="AF398" s="70"/>
      <c r="AG398" s="70">
        <v>25</v>
      </c>
      <c r="AH398" s="72" t="s">
        <v>29</v>
      </c>
      <c r="AI398" s="73"/>
      <c r="AJ398" s="74" t="s">
        <v>26</v>
      </c>
      <c r="AK398" s="57"/>
      <c r="AL398" s="49">
        <f>AB415+AL395+AL396-AL397-AE415-AF415</f>
        <v>144</v>
      </c>
      <c r="AO398" s="50"/>
      <c r="AP398" s="51" t="s">
        <v>17</v>
      </c>
      <c r="AQ398" s="51" t="s">
        <v>18</v>
      </c>
      <c r="AR398" s="52" t="s">
        <v>17</v>
      </c>
      <c r="AS398" s="52" t="s">
        <v>18</v>
      </c>
      <c r="AT398" s="53"/>
      <c r="AU398" s="54"/>
      <c r="AV398" s="55"/>
      <c r="AW398" s="56" t="s">
        <v>19</v>
      </c>
      <c r="AX398" s="57"/>
      <c r="AY398" s="49">
        <f>AQ421+AS421</f>
        <v>319.3</v>
      </c>
    </row>
    <row r="399" ht="15.75" spans="2:64">
      <c r="B399" s="69"/>
      <c r="C399" s="70"/>
      <c r="D399" s="71"/>
      <c r="E399" s="70"/>
      <c r="F399" s="70"/>
      <c r="G399" s="70"/>
      <c r="H399" s="72"/>
      <c r="I399" s="73"/>
      <c r="J399" s="58"/>
      <c r="K399" s="58"/>
      <c r="L399" s="58"/>
      <c r="O399" s="59"/>
      <c r="P399" s="60"/>
      <c r="Q399" s="61"/>
      <c r="R399" s="62">
        <v>363</v>
      </c>
      <c r="S399" s="61">
        <v>36.3</v>
      </c>
      <c r="T399" s="61"/>
      <c r="U399" s="75"/>
      <c r="V399" s="76"/>
      <c r="W399" s="58"/>
      <c r="X399" s="58"/>
      <c r="Y399" s="58"/>
      <c r="AB399" s="59"/>
      <c r="AC399" s="60">
        <v>218</v>
      </c>
      <c r="AD399" s="61">
        <v>21</v>
      </c>
      <c r="AE399" s="62"/>
      <c r="AF399" s="61"/>
      <c r="AG399" s="61">
        <v>122</v>
      </c>
      <c r="AH399" s="75" t="s">
        <v>28</v>
      </c>
      <c r="AI399" s="76"/>
      <c r="AJ399" s="77"/>
      <c r="AK399" s="78" t="s">
        <v>30</v>
      </c>
      <c r="AL399" s="79">
        <f>AL396/4</f>
        <v>150.7875</v>
      </c>
      <c r="AO399" s="59">
        <v>2341</v>
      </c>
      <c r="AP399" s="68">
        <v>384</v>
      </c>
      <c r="AQ399" s="61"/>
      <c r="AR399" s="62"/>
      <c r="AS399" s="61"/>
      <c r="AT399" s="61">
        <v>300</v>
      </c>
      <c r="AU399" s="63" t="s">
        <v>143</v>
      </c>
      <c r="AV399" s="64"/>
      <c r="AW399" s="65" t="s">
        <v>21</v>
      </c>
      <c r="AX399" s="66"/>
      <c r="AY399" s="67">
        <f>AT421</f>
        <v>1496</v>
      </c>
      <c r="BB399" s="33" t="s">
        <v>236</v>
      </c>
      <c r="BC399" s="34"/>
      <c r="BD399" s="34"/>
      <c r="BE399" s="34"/>
      <c r="BF399" s="34"/>
      <c r="BG399" s="34"/>
      <c r="BH399" s="34"/>
      <c r="BI399" s="34"/>
      <c r="BJ399" s="34"/>
      <c r="BK399" s="34"/>
      <c r="BL399" s="35"/>
    </row>
    <row r="400" ht="15.75" spans="2:64">
      <c r="B400" s="59"/>
      <c r="C400" s="60"/>
      <c r="D400" s="61"/>
      <c r="E400" s="62"/>
      <c r="F400" s="61"/>
      <c r="G400" s="61"/>
      <c r="H400" s="75"/>
      <c r="I400" s="76"/>
      <c r="J400" s="58"/>
      <c r="K400" s="58"/>
      <c r="L400" s="58"/>
      <c r="O400" s="69"/>
      <c r="P400" s="71"/>
      <c r="Q400" s="71"/>
      <c r="R400" s="70">
        <v>1252</v>
      </c>
      <c r="S400" s="70">
        <v>125</v>
      </c>
      <c r="T400" s="70"/>
      <c r="U400" s="72"/>
      <c r="V400" s="73"/>
      <c r="W400" s="58"/>
      <c r="X400" s="58"/>
      <c r="Y400" s="58"/>
      <c r="AB400" s="69"/>
      <c r="AC400" s="70"/>
      <c r="AD400" s="71"/>
      <c r="AE400" s="70">
        <v>1010</v>
      </c>
      <c r="AF400" s="70">
        <v>151.5</v>
      </c>
      <c r="AG400" s="70">
        <v>390</v>
      </c>
      <c r="AH400" s="72" t="s">
        <v>24</v>
      </c>
      <c r="AI400" s="73"/>
      <c r="AJ400" s="77"/>
      <c r="AK400" s="80" t="s">
        <v>34</v>
      </c>
      <c r="AL400" s="81">
        <f>AL396/6</f>
        <v>100.525</v>
      </c>
      <c r="AO400" s="69"/>
      <c r="AP400" s="70">
        <v>592</v>
      </c>
      <c r="AQ400" s="71"/>
      <c r="AR400" s="70"/>
      <c r="AS400" s="70"/>
      <c r="AT400" s="70">
        <v>30</v>
      </c>
      <c r="AU400" s="72" t="s">
        <v>29</v>
      </c>
      <c r="AV400" s="73"/>
      <c r="AW400" s="74" t="s">
        <v>26</v>
      </c>
      <c r="AX400" s="57"/>
      <c r="AY400" s="49">
        <f>AO421+AY397+AY398-AY399-AR421-AS421</f>
        <v>3867</v>
      </c>
      <c r="BB400" s="36"/>
      <c r="BC400" s="37"/>
      <c r="BD400" s="37"/>
      <c r="BE400" s="37"/>
      <c r="BF400" s="37"/>
      <c r="BG400" s="37"/>
      <c r="BH400" s="37"/>
      <c r="BI400" s="37"/>
      <c r="BJ400" s="37"/>
      <c r="BK400" s="37"/>
      <c r="BL400" s="38"/>
    </row>
    <row r="401" ht="15.75" spans="2:64">
      <c r="B401" s="69"/>
      <c r="C401" s="71"/>
      <c r="D401" s="71"/>
      <c r="E401" s="70"/>
      <c r="F401" s="70"/>
      <c r="G401" s="70"/>
      <c r="H401" s="72"/>
      <c r="I401" s="73"/>
      <c r="J401" s="58"/>
      <c r="K401" s="58"/>
      <c r="L401" s="58"/>
      <c r="O401" s="59"/>
      <c r="P401" s="61"/>
      <c r="Q401" s="61"/>
      <c r="R401" s="62">
        <v>281</v>
      </c>
      <c r="S401" s="61">
        <v>28.1</v>
      </c>
      <c r="T401" s="61"/>
      <c r="U401" s="75"/>
      <c r="V401" s="76"/>
      <c r="W401" s="58"/>
      <c r="X401" s="58"/>
      <c r="Y401" s="58"/>
      <c r="AB401" s="59"/>
      <c r="AC401" s="60">
        <v>547</v>
      </c>
      <c r="AD401" s="61">
        <v>39</v>
      </c>
      <c r="AE401" s="62"/>
      <c r="AF401" s="61"/>
      <c r="AG401" s="61">
        <v>2565</v>
      </c>
      <c r="AH401" s="75" t="s">
        <v>38</v>
      </c>
      <c r="AI401" s="76"/>
      <c r="AJ401" s="77"/>
      <c r="AK401" s="82" t="s">
        <v>37</v>
      </c>
      <c r="AL401" s="83">
        <f>AL396/8</f>
        <v>75.39375</v>
      </c>
      <c r="AO401" s="59"/>
      <c r="AP401" s="60">
        <v>22</v>
      </c>
      <c r="AQ401" s="61"/>
      <c r="AR401" s="62"/>
      <c r="AS401" s="61"/>
      <c r="AT401" s="61">
        <v>1166</v>
      </c>
      <c r="AU401" s="75" t="s">
        <v>43</v>
      </c>
      <c r="AV401" s="76"/>
      <c r="AW401" s="77"/>
      <c r="AX401" s="78" t="s">
        <v>30</v>
      </c>
      <c r="AY401" s="79">
        <f>AY398/4</f>
        <v>79.825</v>
      </c>
      <c r="BB401" s="39" t="s">
        <v>12</v>
      </c>
      <c r="BC401" s="40" t="s">
        <v>13</v>
      </c>
      <c r="BD401" s="41"/>
      <c r="BE401" s="42" t="s">
        <v>14</v>
      </c>
      <c r="BF401" s="43"/>
      <c r="BG401" s="44" t="s">
        <v>15</v>
      </c>
      <c r="BH401" s="45"/>
      <c r="BI401" s="46"/>
      <c r="BJ401" s="47" t="s">
        <v>16</v>
      </c>
      <c r="BK401" s="48"/>
      <c r="BL401" s="49">
        <f>BC423+BE423</f>
        <v>5433</v>
      </c>
    </row>
    <row r="402" ht="15.75" spans="2:64">
      <c r="B402" s="59"/>
      <c r="C402" s="61"/>
      <c r="D402" s="61"/>
      <c r="E402" s="62"/>
      <c r="F402" s="61"/>
      <c r="G402" s="61"/>
      <c r="H402" s="75"/>
      <c r="I402" s="76"/>
      <c r="J402" s="58"/>
      <c r="K402" s="58"/>
      <c r="L402" s="58"/>
      <c r="O402" s="69"/>
      <c r="P402" s="71">
        <v>127</v>
      </c>
      <c r="Q402" s="71">
        <v>51</v>
      </c>
      <c r="R402" s="70"/>
      <c r="S402" s="70"/>
      <c r="T402" s="70"/>
      <c r="U402" s="72"/>
      <c r="V402" s="73"/>
      <c r="W402" s="58"/>
      <c r="X402" s="58"/>
      <c r="Y402" s="58"/>
      <c r="AB402" s="69"/>
      <c r="AC402" s="70">
        <v>60</v>
      </c>
      <c r="AD402" s="85"/>
      <c r="AE402" s="70"/>
      <c r="AF402" s="70"/>
      <c r="AG402" s="70">
        <v>1913</v>
      </c>
      <c r="AH402" s="72" t="s">
        <v>43</v>
      </c>
      <c r="AI402" s="73"/>
      <c r="AJ402" s="86"/>
      <c r="AK402" s="77"/>
      <c r="AL402" s="87"/>
      <c r="AO402" s="69"/>
      <c r="AP402" s="70"/>
      <c r="AQ402" s="71"/>
      <c r="AR402" s="70">
        <v>330</v>
      </c>
      <c r="AS402" s="70"/>
      <c r="AT402" s="70"/>
      <c r="AU402" s="72"/>
      <c r="AV402" s="73"/>
      <c r="AW402" s="77"/>
      <c r="AX402" s="80" t="s">
        <v>34</v>
      </c>
      <c r="AY402" s="81">
        <f>AY398/6</f>
        <v>53.2166666666667</v>
      </c>
      <c r="BB402" s="50"/>
      <c r="BC402" s="51" t="s">
        <v>17</v>
      </c>
      <c r="BD402" s="51" t="s">
        <v>18</v>
      </c>
      <c r="BE402" s="52" t="s">
        <v>17</v>
      </c>
      <c r="BF402" s="52" t="s">
        <v>18</v>
      </c>
      <c r="BG402" s="53"/>
      <c r="BH402" s="54"/>
      <c r="BI402" s="55"/>
      <c r="BJ402" s="56" t="s">
        <v>19</v>
      </c>
      <c r="BK402" s="57"/>
      <c r="BL402" s="49">
        <f>BD423+BF423</f>
        <v>563.15</v>
      </c>
    </row>
    <row r="403" ht="15.75" spans="2:64">
      <c r="B403" s="69"/>
      <c r="C403" s="70"/>
      <c r="D403" s="71"/>
      <c r="E403" s="70"/>
      <c r="F403" s="70"/>
      <c r="G403" s="70"/>
      <c r="H403" s="72"/>
      <c r="I403" s="73"/>
      <c r="J403" s="58"/>
      <c r="K403" s="58"/>
      <c r="L403" s="58"/>
      <c r="O403" s="59"/>
      <c r="P403" s="61"/>
      <c r="Q403" s="61"/>
      <c r="R403" s="62">
        <v>562</v>
      </c>
      <c r="S403" s="61">
        <v>56.2</v>
      </c>
      <c r="T403" s="61"/>
      <c r="U403" s="75"/>
      <c r="V403" s="76"/>
      <c r="W403" s="58"/>
      <c r="X403" s="58"/>
      <c r="Y403" s="58"/>
      <c r="AB403" s="59"/>
      <c r="AC403" s="60">
        <v>137</v>
      </c>
      <c r="AD403" s="61"/>
      <c r="AE403" s="62"/>
      <c r="AF403" s="61"/>
      <c r="AG403" s="61"/>
      <c r="AH403" s="75"/>
      <c r="AI403" s="76"/>
      <c r="AJ403" s="77"/>
      <c r="AK403" s="58"/>
      <c r="AL403" s="58"/>
      <c r="AO403" s="59"/>
      <c r="AP403" s="60">
        <v>490</v>
      </c>
      <c r="AQ403" s="61">
        <v>30</v>
      </c>
      <c r="AR403" s="62"/>
      <c r="AS403" s="61"/>
      <c r="AT403" s="61"/>
      <c r="AU403" s="75"/>
      <c r="AV403" s="84"/>
      <c r="AW403" s="77"/>
      <c r="AX403" s="82" t="s">
        <v>37</v>
      </c>
      <c r="AY403" s="83">
        <f>AY398/8</f>
        <v>39.9125</v>
      </c>
      <c r="BB403" s="59">
        <v>620</v>
      </c>
      <c r="BC403" s="68">
        <v>220</v>
      </c>
      <c r="BD403" s="61">
        <v>25</v>
      </c>
      <c r="BE403" s="62"/>
      <c r="BF403" s="61"/>
      <c r="BG403" s="61">
        <v>25</v>
      </c>
      <c r="BH403" s="63" t="s">
        <v>29</v>
      </c>
      <c r="BI403" s="64"/>
      <c r="BJ403" s="65" t="s">
        <v>21</v>
      </c>
      <c r="BK403" s="66"/>
      <c r="BL403" s="67">
        <f>BG423</f>
        <v>135</v>
      </c>
    </row>
    <row r="404" ht="15.75" spans="2:64">
      <c r="B404" s="59"/>
      <c r="C404" s="60"/>
      <c r="D404" s="61"/>
      <c r="E404" s="62"/>
      <c r="F404" s="61"/>
      <c r="G404" s="61"/>
      <c r="H404" s="75"/>
      <c r="I404" s="76"/>
      <c r="O404" s="69"/>
      <c r="P404" s="71"/>
      <c r="Q404" s="71"/>
      <c r="R404" s="70">
        <v>365</v>
      </c>
      <c r="S404" s="70">
        <v>54.75</v>
      </c>
      <c r="T404" s="70"/>
      <c r="U404" s="72"/>
      <c r="V404" s="73"/>
      <c r="W404" s="58"/>
      <c r="AB404" s="69"/>
      <c r="AC404" s="70"/>
      <c r="AD404" s="71">
        <v>70</v>
      </c>
      <c r="AE404" s="70">
        <v>562</v>
      </c>
      <c r="AF404" s="70"/>
      <c r="AG404" s="70"/>
      <c r="AH404" s="72"/>
      <c r="AI404" s="73"/>
      <c r="AJ404" s="77"/>
      <c r="AK404" s="58"/>
      <c r="AL404" s="58"/>
      <c r="AO404" s="69"/>
      <c r="AP404" s="70">
        <v>175</v>
      </c>
      <c r="AQ404" s="85">
        <v>25</v>
      </c>
      <c r="AR404" s="70"/>
      <c r="AS404" s="70"/>
      <c r="AT404" s="70"/>
      <c r="AU404" s="72"/>
      <c r="AV404" s="73"/>
      <c r="AW404" s="86"/>
      <c r="AX404" s="77"/>
      <c r="AY404" s="87"/>
      <c r="BB404" s="69"/>
      <c r="BC404" s="70">
        <v>15</v>
      </c>
      <c r="BD404" s="71"/>
      <c r="BE404" s="70"/>
      <c r="BF404" s="70"/>
      <c r="BG404" s="70">
        <v>25</v>
      </c>
      <c r="BH404" s="72" t="s">
        <v>237</v>
      </c>
      <c r="BI404" s="73"/>
      <c r="BJ404" s="74" t="s">
        <v>26</v>
      </c>
      <c r="BK404" s="57"/>
      <c r="BL404" s="49">
        <f>BB423+BL401+BL402-BL403-BE423-BF423</f>
        <v>2028</v>
      </c>
    </row>
    <row r="405" spans="2:64">
      <c r="B405" s="69"/>
      <c r="C405" s="112"/>
      <c r="D405" s="71"/>
      <c r="E405" s="58"/>
      <c r="F405" s="70"/>
      <c r="G405" s="70"/>
      <c r="H405" s="72"/>
      <c r="I405" s="73"/>
      <c r="O405" s="59"/>
      <c r="P405" s="61"/>
      <c r="Q405" s="61"/>
      <c r="R405" s="62"/>
      <c r="S405" s="61"/>
      <c r="T405" s="61"/>
      <c r="U405" s="75"/>
      <c r="V405" s="76"/>
      <c r="W405" s="58"/>
      <c r="AB405" s="59"/>
      <c r="AC405" s="60"/>
      <c r="AD405" s="88"/>
      <c r="AE405" s="62">
        <v>335</v>
      </c>
      <c r="AF405" s="61"/>
      <c r="AG405" s="61"/>
      <c r="AH405" s="75"/>
      <c r="AI405" s="76"/>
      <c r="AJ405" s="77"/>
      <c r="AK405" s="58"/>
      <c r="AL405" s="58"/>
      <c r="AO405" s="59"/>
      <c r="AP405" s="60">
        <v>192</v>
      </c>
      <c r="AQ405" s="61">
        <v>8</v>
      </c>
      <c r="AR405" s="62"/>
      <c r="AS405" s="61"/>
      <c r="AT405" s="61"/>
      <c r="AU405" s="75"/>
      <c r="AV405" s="84"/>
      <c r="AW405" s="77"/>
      <c r="AX405" s="58"/>
      <c r="AY405" s="58"/>
      <c r="BB405" s="59"/>
      <c r="BC405" s="60"/>
      <c r="BD405" s="61"/>
      <c r="BE405" s="62">
        <v>540</v>
      </c>
      <c r="BF405" s="61">
        <v>81</v>
      </c>
      <c r="BG405" s="61">
        <v>85</v>
      </c>
      <c r="BH405" s="75" t="s">
        <v>238</v>
      </c>
      <c r="BI405" s="76"/>
      <c r="BJ405" s="77"/>
      <c r="BK405" s="78" t="s">
        <v>30</v>
      </c>
      <c r="BL405" s="79">
        <f>BL402/4</f>
        <v>140.7875</v>
      </c>
    </row>
    <row r="406" spans="2:64">
      <c r="B406" s="59"/>
      <c r="C406" s="60"/>
      <c r="D406" s="61"/>
      <c r="E406" s="62"/>
      <c r="F406" s="61"/>
      <c r="G406" s="61"/>
      <c r="H406" s="75"/>
      <c r="I406" s="76"/>
      <c r="O406" s="69"/>
      <c r="P406" s="71"/>
      <c r="Q406" s="71"/>
      <c r="R406" s="70"/>
      <c r="S406" s="70"/>
      <c r="T406" s="70"/>
      <c r="U406" s="72"/>
      <c r="V406" s="73"/>
      <c r="W406" s="58"/>
      <c r="AB406" s="69"/>
      <c r="AC406" s="70"/>
      <c r="AD406" s="71"/>
      <c r="AE406" s="70">
        <v>503</v>
      </c>
      <c r="AF406" s="70">
        <v>50.3</v>
      </c>
      <c r="AG406" s="70"/>
      <c r="AH406" s="72"/>
      <c r="AI406" s="73"/>
      <c r="AJ406" s="89" t="s">
        <v>44</v>
      </c>
      <c r="AK406" s="90" t="s">
        <v>45</v>
      </c>
      <c r="AL406" s="90" t="s">
        <v>46</v>
      </c>
      <c r="AO406" s="69"/>
      <c r="AP406" s="70"/>
      <c r="AQ406" s="85"/>
      <c r="AR406" s="70">
        <v>170</v>
      </c>
      <c r="AS406" s="70"/>
      <c r="AT406" s="70"/>
      <c r="AU406" s="72"/>
      <c r="AV406" s="73"/>
      <c r="AW406" s="77"/>
      <c r="AX406" s="58"/>
      <c r="AY406" s="58"/>
      <c r="BB406" s="69"/>
      <c r="BC406" s="70">
        <v>214</v>
      </c>
      <c r="BD406" s="71"/>
      <c r="BE406" s="70"/>
      <c r="BF406" s="70"/>
      <c r="BG406" s="70"/>
      <c r="BH406" s="72"/>
      <c r="BI406" s="73"/>
      <c r="BJ406" s="77"/>
      <c r="BK406" s="80" t="s">
        <v>34</v>
      </c>
      <c r="BL406" s="81">
        <f>BL402/6</f>
        <v>93.8583333333333</v>
      </c>
    </row>
    <row r="407" spans="2:64">
      <c r="B407" s="96"/>
      <c r="C407" s="97"/>
      <c r="D407" s="98"/>
      <c r="E407" s="99"/>
      <c r="F407" s="98"/>
      <c r="G407" s="98"/>
      <c r="H407" s="72"/>
      <c r="I407" s="73"/>
      <c r="O407" s="96"/>
      <c r="P407" s="97"/>
      <c r="Q407" s="98"/>
      <c r="R407" s="99"/>
      <c r="S407" s="98"/>
      <c r="T407" s="98"/>
      <c r="U407" s="72"/>
      <c r="V407" s="73"/>
      <c r="AB407" s="59"/>
      <c r="AC407" s="60"/>
      <c r="AD407" s="61"/>
      <c r="AE407" s="62">
        <v>697</v>
      </c>
      <c r="AF407" s="61">
        <v>69.7</v>
      </c>
      <c r="AG407" s="61"/>
      <c r="AH407" s="75"/>
      <c r="AI407" s="76"/>
      <c r="AJ407" s="92" t="s">
        <v>47</v>
      </c>
      <c r="AK407" s="93" t="s">
        <v>48</v>
      </c>
      <c r="AL407" s="93" t="s">
        <v>65</v>
      </c>
      <c r="AO407" s="59"/>
      <c r="AP407" s="60"/>
      <c r="AQ407" s="61"/>
      <c r="AR407" s="62">
        <v>108</v>
      </c>
      <c r="AS407" s="61"/>
      <c r="AT407" s="61"/>
      <c r="AU407" s="75"/>
      <c r="AV407" s="84"/>
      <c r="AW407" s="77"/>
      <c r="AX407" s="58"/>
      <c r="AY407" s="58"/>
      <c r="BB407" s="59"/>
      <c r="BC407" s="60"/>
      <c r="BD407" s="61"/>
      <c r="BE407" s="62">
        <v>432</v>
      </c>
      <c r="BF407" s="61">
        <v>64.8</v>
      </c>
      <c r="BG407" s="61"/>
      <c r="BH407" s="75"/>
      <c r="BI407" s="84"/>
      <c r="BJ407" s="77"/>
      <c r="BK407" s="82" t="s">
        <v>37</v>
      </c>
      <c r="BL407" s="83">
        <f>BL402/8</f>
        <v>70.39375</v>
      </c>
    </row>
    <row r="408" spans="2:64">
      <c r="B408" s="59"/>
      <c r="C408" s="60"/>
      <c r="D408" s="61"/>
      <c r="E408" s="62"/>
      <c r="F408" s="61"/>
      <c r="G408" s="61"/>
      <c r="H408" s="75"/>
      <c r="I408" s="76"/>
      <c r="O408" s="59"/>
      <c r="P408" s="60"/>
      <c r="Q408" s="61"/>
      <c r="R408" s="62"/>
      <c r="S408" s="61"/>
      <c r="T408" s="61"/>
      <c r="U408" s="75"/>
      <c r="V408" s="76"/>
      <c r="AB408" s="69"/>
      <c r="AC408" s="70"/>
      <c r="AD408" s="71"/>
      <c r="AE408" s="70">
        <v>780</v>
      </c>
      <c r="AF408" s="70">
        <v>78</v>
      </c>
      <c r="AG408" s="70"/>
      <c r="AH408" s="72"/>
      <c r="AI408" s="73"/>
      <c r="AJ408" s="94" t="s">
        <v>52</v>
      </c>
      <c r="AK408" s="95" t="s">
        <v>27</v>
      </c>
      <c r="AL408" s="95" t="s">
        <v>43</v>
      </c>
      <c r="AO408" s="69"/>
      <c r="AP408" s="70"/>
      <c r="AQ408" s="85"/>
      <c r="AR408" s="70">
        <v>611</v>
      </c>
      <c r="AS408" s="70">
        <v>61.1</v>
      </c>
      <c r="AT408" s="70"/>
      <c r="AU408" s="72"/>
      <c r="AV408" s="73"/>
      <c r="AW408" s="89" t="s">
        <v>44</v>
      </c>
      <c r="AX408" s="90" t="s">
        <v>45</v>
      </c>
      <c r="AY408" s="90" t="s">
        <v>46</v>
      </c>
      <c r="BB408" s="69"/>
      <c r="BC408" s="70"/>
      <c r="BD408" s="85">
        <v>60</v>
      </c>
      <c r="BE408" s="70">
        <v>642</v>
      </c>
      <c r="BF408" s="70"/>
      <c r="BG408" s="70"/>
      <c r="BH408" s="72"/>
      <c r="BI408" s="73"/>
      <c r="BJ408" s="86"/>
      <c r="BK408" s="77"/>
      <c r="BL408" s="87"/>
    </row>
    <row r="409" ht="15.75" spans="2:64">
      <c r="B409" s="59"/>
      <c r="C409" s="60"/>
      <c r="D409" s="61"/>
      <c r="E409" s="62"/>
      <c r="F409" s="61"/>
      <c r="G409" s="61"/>
      <c r="H409" s="75"/>
      <c r="I409" s="76"/>
      <c r="O409" s="96"/>
      <c r="P409" s="97"/>
      <c r="Q409" s="98"/>
      <c r="R409" s="99"/>
      <c r="S409" s="98"/>
      <c r="T409" s="98"/>
      <c r="U409" s="100"/>
      <c r="V409" s="101"/>
      <c r="AB409" s="59"/>
      <c r="AC409" s="60">
        <v>60</v>
      </c>
      <c r="AD409" s="61"/>
      <c r="AE409" s="62"/>
      <c r="AF409" s="61"/>
      <c r="AG409" s="61"/>
      <c r="AH409" s="75"/>
      <c r="AI409" s="76"/>
      <c r="AJ409" s="77"/>
      <c r="AK409" s="77"/>
      <c r="AL409" s="87"/>
      <c r="AO409" s="59"/>
      <c r="AP409" s="60"/>
      <c r="AQ409" s="61"/>
      <c r="AR409" s="62">
        <v>187</v>
      </c>
      <c r="AS409" s="61"/>
      <c r="AT409" s="61"/>
      <c r="AU409" s="75"/>
      <c r="AV409" s="84"/>
      <c r="AW409" s="92" t="s">
        <v>47</v>
      </c>
      <c r="AX409" s="93" t="s">
        <v>51</v>
      </c>
      <c r="AY409" s="93" t="s">
        <v>43</v>
      </c>
      <c r="BB409" s="59"/>
      <c r="BC409" s="60">
        <v>633</v>
      </c>
      <c r="BD409" s="61">
        <v>20</v>
      </c>
      <c r="BE409" s="62">
        <v>283</v>
      </c>
      <c r="BF409" s="61"/>
      <c r="BG409" s="61"/>
      <c r="BH409" s="75"/>
      <c r="BI409" s="84"/>
      <c r="BJ409" s="77"/>
      <c r="BK409" s="58"/>
      <c r="BL409" s="58"/>
    </row>
    <row r="410" ht="15.75" spans="2:64">
      <c r="B410" s="69"/>
      <c r="C410" s="112"/>
      <c r="D410" s="71"/>
      <c r="E410" s="58"/>
      <c r="F410" s="70"/>
      <c r="G410" s="70"/>
      <c r="H410" s="72"/>
      <c r="I410" s="73"/>
      <c r="O410" s="102">
        <f t="shared" ref="O410:T410" si="72">SUM(O385:O409)</f>
        <v>2982</v>
      </c>
      <c r="P410" s="103">
        <f t="shared" si="72"/>
        <v>1777</v>
      </c>
      <c r="Q410" s="104">
        <f t="shared" si="72"/>
        <v>239</v>
      </c>
      <c r="R410" s="105">
        <f t="shared" si="72"/>
        <v>5629</v>
      </c>
      <c r="S410" s="106">
        <f t="shared" si="72"/>
        <v>536.35</v>
      </c>
      <c r="T410" s="107">
        <f t="shared" si="72"/>
        <v>2413.31</v>
      </c>
      <c r="U410" s="108" t="s">
        <v>54</v>
      </c>
      <c r="V410" s="109"/>
      <c r="AB410" s="69"/>
      <c r="AC410" s="70"/>
      <c r="AD410" s="71"/>
      <c r="AE410" s="70">
        <v>615</v>
      </c>
      <c r="AF410" s="70">
        <v>61.5</v>
      </c>
      <c r="AG410" s="70"/>
      <c r="AH410" s="72"/>
      <c r="AI410" s="73"/>
      <c r="AJ410" s="58"/>
      <c r="AK410" s="58"/>
      <c r="AL410" s="58"/>
      <c r="AO410" s="69"/>
      <c r="AP410" s="70"/>
      <c r="AQ410" s="85"/>
      <c r="AR410" s="70">
        <v>176</v>
      </c>
      <c r="AS410" s="70"/>
      <c r="AT410" s="70"/>
      <c r="AU410" s="72"/>
      <c r="AV410" s="73"/>
      <c r="AW410" s="94" t="s">
        <v>52</v>
      </c>
      <c r="AX410" s="95" t="s">
        <v>27</v>
      </c>
      <c r="AY410" s="95" t="s">
        <v>67</v>
      </c>
      <c r="BB410" s="69"/>
      <c r="BC410" s="70">
        <v>208</v>
      </c>
      <c r="BD410" s="85">
        <v>43</v>
      </c>
      <c r="BE410" s="70"/>
      <c r="BF410" s="70"/>
      <c r="BG410" s="70"/>
      <c r="BH410" s="72"/>
      <c r="BI410" s="73"/>
      <c r="BJ410" s="77"/>
      <c r="BK410" s="58"/>
      <c r="BL410" s="58"/>
    </row>
    <row r="411" ht="15.75" spans="2:64">
      <c r="B411" s="102">
        <f t="shared" ref="B411:G411" si="73">SUM(B386:B410)</f>
        <v>3584</v>
      </c>
      <c r="C411" s="103">
        <f t="shared" si="73"/>
        <v>1849</v>
      </c>
      <c r="D411" s="104">
        <f t="shared" si="73"/>
        <v>166</v>
      </c>
      <c r="E411" s="105">
        <f t="shared" si="73"/>
        <v>1824</v>
      </c>
      <c r="F411" s="106">
        <f t="shared" si="73"/>
        <v>214.1</v>
      </c>
      <c r="G411" s="107">
        <f t="shared" si="73"/>
        <v>5179</v>
      </c>
      <c r="H411" s="108" t="s">
        <v>54</v>
      </c>
      <c r="I411" s="109"/>
      <c r="AB411" s="59"/>
      <c r="AC411" s="60"/>
      <c r="AD411" s="61"/>
      <c r="AE411" s="62">
        <v>216</v>
      </c>
      <c r="AF411" s="61">
        <v>21.6</v>
      </c>
      <c r="AG411" s="61"/>
      <c r="AH411" s="75"/>
      <c r="AI411" s="76"/>
      <c r="AJ411" s="58"/>
      <c r="AK411" s="58"/>
      <c r="AL411" s="58"/>
      <c r="AO411" s="59"/>
      <c r="AP411" s="60">
        <v>460</v>
      </c>
      <c r="AQ411" s="61">
        <v>40</v>
      </c>
      <c r="AR411" s="62"/>
      <c r="AS411" s="61"/>
      <c r="AT411" s="61"/>
      <c r="AU411" s="75"/>
      <c r="AV411" s="84"/>
      <c r="AW411" s="77"/>
      <c r="AX411" s="77"/>
      <c r="AY411" s="87"/>
      <c r="BB411" s="59"/>
      <c r="BC411" s="60">
        <v>15</v>
      </c>
      <c r="BD411" s="61"/>
      <c r="BE411" s="62"/>
      <c r="BF411" s="61"/>
      <c r="BG411" s="61"/>
      <c r="BH411" s="75"/>
      <c r="BI411" s="84"/>
      <c r="BJ411" s="77"/>
      <c r="BK411" s="58"/>
      <c r="BL411" s="58"/>
    </row>
    <row r="412" ht="15.75" spans="2:64">
      <c r="AB412" s="69"/>
      <c r="AC412" s="71"/>
      <c r="AD412" s="71"/>
      <c r="AE412" s="70">
        <v>441</v>
      </c>
      <c r="AF412" s="70"/>
      <c r="AG412" s="70"/>
      <c r="AH412" s="72"/>
      <c r="AI412" s="73"/>
      <c r="AJ412" s="58"/>
      <c r="AK412" s="58"/>
      <c r="AL412" s="58"/>
      <c r="AO412" s="69"/>
      <c r="AP412" s="70">
        <v>522</v>
      </c>
      <c r="AQ412" s="85">
        <v>82</v>
      </c>
      <c r="AR412" s="70"/>
      <c r="AS412" s="70"/>
      <c r="AT412" s="70"/>
      <c r="AU412" s="72"/>
      <c r="AV412" s="73"/>
      <c r="AW412" s="58"/>
      <c r="AX412" s="58"/>
      <c r="AY412" s="58"/>
      <c r="BB412" s="69"/>
      <c r="BC412" s="70"/>
      <c r="BD412" s="85"/>
      <c r="BE412" s="70">
        <v>450</v>
      </c>
      <c r="BF412" s="70">
        <v>45</v>
      </c>
      <c r="BG412" s="70"/>
      <c r="BH412" s="72"/>
      <c r="BI412" s="73"/>
      <c r="BJ412" s="89" t="s">
        <v>44</v>
      </c>
      <c r="BK412" s="90" t="s">
        <v>45</v>
      </c>
      <c r="BL412" s="90" t="s">
        <v>46</v>
      </c>
    </row>
    <row r="413" ht="15.75" spans="2:64">
      <c r="O413" s="33" t="s">
        <v>239</v>
      </c>
      <c r="P413" s="34"/>
      <c r="Q413" s="34"/>
      <c r="R413" s="34"/>
      <c r="S413" s="34"/>
      <c r="T413" s="34"/>
      <c r="U413" s="34"/>
      <c r="V413" s="34"/>
      <c r="W413" s="34"/>
      <c r="X413" s="34"/>
      <c r="Y413" s="35"/>
      <c r="AB413" s="59"/>
      <c r="AC413" s="61"/>
      <c r="AD413" s="61"/>
      <c r="AE413" s="62"/>
      <c r="AF413" s="61"/>
      <c r="AG413" s="61"/>
      <c r="AH413" s="75"/>
      <c r="AI413" s="76"/>
      <c r="AJ413" s="58"/>
      <c r="AK413" s="58"/>
      <c r="AL413" s="58"/>
      <c r="AO413" s="59"/>
      <c r="AP413" s="60"/>
      <c r="AQ413" s="61"/>
      <c r="AR413" s="62">
        <v>488</v>
      </c>
      <c r="AS413" s="61">
        <v>73.2</v>
      </c>
      <c r="AT413" s="61"/>
      <c r="AU413" s="75"/>
      <c r="AV413" s="84"/>
      <c r="AW413" s="58"/>
      <c r="AX413" s="58"/>
      <c r="AY413" s="58"/>
      <c r="BB413" s="59"/>
      <c r="BC413" s="60"/>
      <c r="BD413" s="61"/>
      <c r="BE413" s="62">
        <v>453</v>
      </c>
      <c r="BF413" s="61">
        <v>45.3</v>
      </c>
      <c r="BG413" s="61"/>
      <c r="BH413" s="75"/>
      <c r="BI413" s="84"/>
      <c r="BJ413" s="92" t="s">
        <v>47</v>
      </c>
      <c r="BK413" s="93" t="s">
        <v>27</v>
      </c>
      <c r="BL413" s="93" t="s">
        <v>43</v>
      </c>
    </row>
    <row r="414" ht="15.75" spans="2:64">
      <c r="B414" s="33" t="s">
        <v>240</v>
      </c>
      <c r="C414" s="34"/>
      <c r="D414" s="34"/>
      <c r="E414" s="34"/>
      <c r="F414" s="34"/>
      <c r="G414" s="34"/>
      <c r="H414" s="34"/>
      <c r="I414" s="34"/>
      <c r="J414" s="34"/>
      <c r="K414" s="34"/>
      <c r="L414" s="35"/>
      <c r="O414" s="36"/>
      <c r="P414" s="37"/>
      <c r="Q414" s="37"/>
      <c r="R414" s="37"/>
      <c r="S414" s="37"/>
      <c r="T414" s="37"/>
      <c r="U414" s="37"/>
      <c r="V414" s="37"/>
      <c r="W414" s="37"/>
      <c r="X414" s="37"/>
      <c r="Y414" s="38"/>
      <c r="AB414" s="96"/>
      <c r="AC414" s="97"/>
      <c r="AD414" s="98"/>
      <c r="AE414" s="99"/>
      <c r="AF414" s="98"/>
      <c r="AG414" s="98"/>
      <c r="AH414" s="100"/>
      <c r="AI414" s="101"/>
      <c r="AO414" s="69"/>
      <c r="AP414" s="70"/>
      <c r="AQ414" s="85"/>
      <c r="AR414" s="70"/>
      <c r="AS414" s="70"/>
      <c r="AT414" s="70"/>
      <c r="AU414" s="72"/>
      <c r="AV414" s="73"/>
      <c r="AW414" s="58"/>
      <c r="AX414" s="58"/>
      <c r="AY414" s="58"/>
      <c r="BB414" s="69"/>
      <c r="BC414" s="70">
        <v>10</v>
      </c>
      <c r="BD414" s="85"/>
      <c r="BE414" s="70"/>
      <c r="BF414" s="70"/>
      <c r="BG414" s="70"/>
      <c r="BH414" s="72"/>
      <c r="BI414" s="73"/>
      <c r="BJ414" s="94" t="s">
        <v>52</v>
      </c>
      <c r="BK414" s="95" t="s">
        <v>48</v>
      </c>
      <c r="BL414" s="95" t="s">
        <v>65</v>
      </c>
    </row>
    <row r="415" ht="15.75" spans="2:64">
      <c r="B415" s="36"/>
      <c r="C415" s="37"/>
      <c r="D415" s="37"/>
      <c r="E415" s="37"/>
      <c r="F415" s="37"/>
      <c r="G415" s="37"/>
      <c r="H415" s="37"/>
      <c r="I415" s="37"/>
      <c r="J415" s="37"/>
      <c r="K415" s="37"/>
      <c r="L415" s="38"/>
      <c r="O415" s="39" t="s">
        <v>12</v>
      </c>
      <c r="P415" s="40" t="s">
        <v>13</v>
      </c>
      <c r="Q415" s="41"/>
      <c r="R415" s="42" t="s">
        <v>14</v>
      </c>
      <c r="S415" s="43"/>
      <c r="T415" s="44" t="s">
        <v>15</v>
      </c>
      <c r="U415" s="45"/>
      <c r="V415" s="46"/>
      <c r="W415" s="47" t="s">
        <v>16</v>
      </c>
      <c r="X415" s="48"/>
      <c r="Y415" s="49">
        <f>P455+R455</f>
        <v>16071</v>
      </c>
      <c r="AB415" s="102">
        <f t="shared" ref="AB415:AG415" si="74">SUM(AB397:AB414)</f>
        <v>3875</v>
      </c>
      <c r="AC415" s="103">
        <f t="shared" si="74"/>
        <v>1159</v>
      </c>
      <c r="AD415" s="104">
        <f t="shared" si="74"/>
        <v>150</v>
      </c>
      <c r="AE415" s="105">
        <f t="shared" si="74"/>
        <v>5296</v>
      </c>
      <c r="AF415" s="106">
        <f t="shared" si="74"/>
        <v>453.15</v>
      </c>
      <c r="AG415" s="107">
        <f t="shared" si="74"/>
        <v>5040</v>
      </c>
      <c r="AH415" s="108" t="s">
        <v>54</v>
      </c>
      <c r="AI415" s="109"/>
      <c r="AO415" s="59"/>
      <c r="AP415" s="60"/>
      <c r="AQ415" s="61"/>
      <c r="AR415" s="62"/>
      <c r="AS415" s="61"/>
      <c r="AT415" s="61"/>
      <c r="AU415" s="75"/>
      <c r="AV415" s="84"/>
      <c r="AW415" s="58"/>
      <c r="AX415" s="58"/>
      <c r="AY415" s="58"/>
      <c r="BB415" s="59"/>
      <c r="BC415" s="60"/>
      <c r="BD415" s="61"/>
      <c r="BE415" s="62">
        <v>285</v>
      </c>
      <c r="BF415" s="61">
        <v>42.75</v>
      </c>
      <c r="BG415" s="61"/>
      <c r="BH415" s="75"/>
      <c r="BI415" s="84"/>
      <c r="BJ415" s="77"/>
      <c r="BK415" s="77"/>
      <c r="BL415" s="87"/>
    </row>
    <row r="416" ht="19" customHeight="1" spans="2:64">
      <c r="B416" s="39" t="s">
        <v>12</v>
      </c>
      <c r="C416" s="40" t="s">
        <v>13</v>
      </c>
      <c r="D416" s="41"/>
      <c r="E416" s="42" t="s">
        <v>14</v>
      </c>
      <c r="F416" s="43"/>
      <c r="G416" s="44" t="s">
        <v>15</v>
      </c>
      <c r="H416" s="45"/>
      <c r="I416" s="46"/>
      <c r="J416" s="47" t="s">
        <v>16</v>
      </c>
      <c r="K416" s="48"/>
      <c r="L416" s="49">
        <f>C443+E443</f>
        <v>4055</v>
      </c>
      <c r="O416" s="50"/>
      <c r="P416" s="51" t="s">
        <v>17</v>
      </c>
      <c r="Q416" s="51" t="s">
        <v>18</v>
      </c>
      <c r="R416" s="52" t="s">
        <v>17</v>
      </c>
      <c r="S416" s="52" t="s">
        <v>18</v>
      </c>
      <c r="T416" s="53"/>
      <c r="U416" s="54"/>
      <c r="V416" s="55"/>
      <c r="W416" s="56" t="s">
        <v>19</v>
      </c>
      <c r="X416" s="57"/>
      <c r="Y416" s="49">
        <f>Q455+S455</f>
        <v>1433.45</v>
      </c>
      <c r="AO416" s="69"/>
      <c r="AP416" s="70"/>
      <c r="AQ416" s="85"/>
      <c r="AR416" s="70"/>
      <c r="AS416" s="70"/>
      <c r="AT416" s="70"/>
      <c r="AU416" s="72"/>
      <c r="AV416" s="73"/>
      <c r="AW416" s="58"/>
      <c r="AX416" s="58"/>
      <c r="AY416" s="58"/>
      <c r="BB416" s="69"/>
      <c r="BC416" s="70"/>
      <c r="BD416" s="85">
        <v>80</v>
      </c>
      <c r="BE416" s="70">
        <v>470</v>
      </c>
      <c r="BF416" s="70"/>
      <c r="BG416" s="70"/>
      <c r="BH416" s="72"/>
      <c r="BI416" s="73"/>
      <c r="BJ416" s="58"/>
      <c r="BK416" s="58"/>
      <c r="BL416" s="58"/>
    </row>
    <row r="417" ht="15.75" spans="2:64">
      <c r="B417" s="50"/>
      <c r="C417" s="51" t="s">
        <v>17</v>
      </c>
      <c r="D417" s="51" t="s">
        <v>18</v>
      </c>
      <c r="E417" s="52" t="s">
        <v>17</v>
      </c>
      <c r="F417" s="52" t="s">
        <v>18</v>
      </c>
      <c r="G417" s="53"/>
      <c r="H417" s="54"/>
      <c r="I417" s="55"/>
      <c r="J417" s="56" t="s">
        <v>19</v>
      </c>
      <c r="K417" s="57"/>
      <c r="L417" s="49">
        <f>D443+F443</f>
        <v>428.05</v>
      </c>
      <c r="O417" s="59">
        <v>780</v>
      </c>
      <c r="P417" s="60">
        <v>589</v>
      </c>
      <c r="Q417" s="61">
        <v>21</v>
      </c>
      <c r="R417" s="62"/>
      <c r="S417" s="61"/>
      <c r="T417" s="61">
        <v>25</v>
      </c>
      <c r="U417" s="63" t="s">
        <v>20</v>
      </c>
      <c r="V417" s="64"/>
      <c r="W417" s="65" t="s">
        <v>21</v>
      </c>
      <c r="X417" s="66"/>
      <c r="Y417" s="67">
        <f>T455</f>
        <v>980</v>
      </c>
      <c r="AO417" s="59"/>
      <c r="AP417" s="60"/>
      <c r="AQ417" s="61"/>
      <c r="AR417" s="62"/>
      <c r="AS417" s="61"/>
      <c r="AT417" s="61"/>
      <c r="AU417" s="75"/>
      <c r="AV417" s="76"/>
      <c r="BB417" s="59"/>
      <c r="BC417" s="60"/>
      <c r="BD417" s="61"/>
      <c r="BE417" s="62">
        <v>563</v>
      </c>
      <c r="BF417" s="61">
        <v>56.3</v>
      </c>
      <c r="BG417" s="61"/>
      <c r="BH417" s="75"/>
      <c r="BI417" s="76"/>
    </row>
    <row r="418" ht="15.75" spans="2:64">
      <c r="B418" s="59">
        <v>320</v>
      </c>
      <c r="C418" s="60"/>
      <c r="D418" s="61"/>
      <c r="E418" s="62">
        <v>265</v>
      </c>
      <c r="F418" s="61">
        <v>15</v>
      </c>
      <c r="G418" s="61">
        <v>50</v>
      </c>
      <c r="H418" s="63" t="s">
        <v>77</v>
      </c>
      <c r="I418" s="64"/>
      <c r="J418" s="65" t="s">
        <v>21</v>
      </c>
      <c r="K418" s="66"/>
      <c r="L418" s="67">
        <f>G443</f>
        <v>80</v>
      </c>
      <c r="O418" s="69"/>
      <c r="P418" s="70">
        <v>367</v>
      </c>
      <c r="Q418" s="71">
        <v>33</v>
      </c>
      <c r="R418" s="70"/>
      <c r="S418" s="70"/>
      <c r="T418" s="70">
        <v>8</v>
      </c>
      <c r="U418" s="72" t="s">
        <v>241</v>
      </c>
      <c r="V418" s="73"/>
      <c r="W418" s="74" t="s">
        <v>26</v>
      </c>
      <c r="X418" s="57"/>
      <c r="Y418" s="49">
        <f>O455+Y415+Y416-Y417-R455-S455</f>
        <v>7975</v>
      </c>
      <c r="AB418" s="33" t="s">
        <v>242</v>
      </c>
      <c r="AC418" s="34"/>
      <c r="AD418" s="34"/>
      <c r="AE418" s="34"/>
      <c r="AF418" s="34"/>
      <c r="AG418" s="34"/>
      <c r="AH418" s="34"/>
      <c r="AI418" s="34"/>
      <c r="AJ418" s="34"/>
      <c r="AK418" s="34"/>
      <c r="AL418" s="35"/>
      <c r="AO418" s="96"/>
      <c r="AP418" s="97"/>
      <c r="AQ418" s="98"/>
      <c r="AR418" s="99"/>
      <c r="AS418" s="98"/>
      <c r="AT418" s="98"/>
      <c r="AU418" s="72"/>
      <c r="AV418" s="73"/>
      <c r="BB418" s="96"/>
      <c r="BC418" s="97"/>
      <c r="BD418" s="98"/>
      <c r="BE418" s="99"/>
      <c r="BF418" s="98"/>
      <c r="BG418" s="98"/>
      <c r="BH418" s="72"/>
      <c r="BI418" s="73"/>
    </row>
    <row r="419" ht="15.75" spans="2:64">
      <c r="B419" s="69"/>
      <c r="C419" s="70">
        <v>277</v>
      </c>
      <c r="D419" s="71">
        <v>20</v>
      </c>
      <c r="E419" s="70"/>
      <c r="F419" s="70"/>
      <c r="G419" s="70">
        <v>30</v>
      </c>
      <c r="H419" s="72" t="s">
        <v>29</v>
      </c>
      <c r="I419" s="73"/>
      <c r="J419" s="74" t="s">
        <v>26</v>
      </c>
      <c r="K419" s="57"/>
      <c r="L419" s="49">
        <f>B443+L416+L417-L418-E443-F443</f>
        <v>1545</v>
      </c>
      <c r="O419" s="59"/>
      <c r="P419" s="60"/>
      <c r="Q419" s="61"/>
      <c r="R419" s="62">
        <v>587</v>
      </c>
      <c r="S419" s="61">
        <v>58.7</v>
      </c>
      <c r="T419" s="61">
        <v>28</v>
      </c>
      <c r="U419" s="75" t="s">
        <v>243</v>
      </c>
      <c r="V419" s="76"/>
      <c r="W419" s="77"/>
      <c r="X419" s="78" t="s">
        <v>30</v>
      </c>
      <c r="Y419" s="79">
        <f>Y416/4</f>
        <v>358.3625</v>
      </c>
      <c r="AB419" s="36"/>
      <c r="AC419" s="37"/>
      <c r="AD419" s="37"/>
      <c r="AE419" s="37"/>
      <c r="AF419" s="37"/>
      <c r="AG419" s="37"/>
      <c r="AH419" s="37"/>
      <c r="AI419" s="37"/>
      <c r="AJ419" s="37"/>
      <c r="AK419" s="37"/>
      <c r="AL419" s="38"/>
      <c r="AO419" s="59"/>
      <c r="AP419" s="60"/>
      <c r="AQ419" s="61"/>
      <c r="AR419" s="62"/>
      <c r="AS419" s="61"/>
      <c r="AT419" s="61"/>
      <c r="AU419" s="75"/>
      <c r="AV419" s="76"/>
      <c r="BB419" s="59"/>
      <c r="BC419" s="60"/>
      <c r="BD419" s="61"/>
      <c r="BE419" s="62"/>
      <c r="BF419" s="61"/>
      <c r="BG419" s="61"/>
      <c r="BH419" s="75"/>
      <c r="BI419" s="76"/>
    </row>
    <row r="420" ht="15.75" spans="2:64">
      <c r="B420" s="59"/>
      <c r="C420" s="60">
        <v>396</v>
      </c>
      <c r="D420" s="61">
        <v>40</v>
      </c>
      <c r="E420" s="62"/>
      <c r="F420" s="61"/>
      <c r="G420" s="61"/>
      <c r="H420" s="75"/>
      <c r="I420" s="76"/>
      <c r="J420" s="77"/>
      <c r="K420" s="78" t="s">
        <v>30</v>
      </c>
      <c r="L420" s="79">
        <f>L417/4</f>
        <v>107.0125</v>
      </c>
      <c r="O420" s="69"/>
      <c r="P420" s="70"/>
      <c r="Q420" s="71"/>
      <c r="R420" s="70">
        <v>275</v>
      </c>
      <c r="S420" s="70">
        <v>27</v>
      </c>
      <c r="T420" s="70">
        <v>140</v>
      </c>
      <c r="U420" s="72" t="s">
        <v>244</v>
      </c>
      <c r="V420" s="73"/>
      <c r="W420" s="77"/>
      <c r="X420" s="80" t="s">
        <v>34</v>
      </c>
      <c r="Y420" s="81">
        <f>Y416/6</f>
        <v>238.908333333333</v>
      </c>
      <c r="AB420" s="39" t="s">
        <v>12</v>
      </c>
      <c r="AC420" s="40" t="s">
        <v>13</v>
      </c>
      <c r="AD420" s="41"/>
      <c r="AE420" s="42" t="s">
        <v>14</v>
      </c>
      <c r="AF420" s="43"/>
      <c r="AG420" s="44" t="s">
        <v>15</v>
      </c>
      <c r="AH420" s="45"/>
      <c r="AI420" s="46"/>
      <c r="AJ420" s="47" t="s">
        <v>16</v>
      </c>
      <c r="AK420" s="48"/>
      <c r="AL420" s="49">
        <f>AC444+AE444</f>
        <v>5829</v>
      </c>
      <c r="AO420" s="96"/>
      <c r="AP420" s="97"/>
      <c r="AQ420" s="98"/>
      <c r="AR420" s="99"/>
      <c r="AS420" s="98"/>
      <c r="AT420" s="98"/>
      <c r="AU420" s="72"/>
      <c r="AV420" s="73"/>
      <c r="BB420" s="96"/>
      <c r="BC420" s="97"/>
      <c r="BD420" s="98"/>
      <c r="BE420" s="99"/>
      <c r="BF420" s="98"/>
      <c r="BG420" s="98"/>
      <c r="BH420" s="72"/>
      <c r="BI420" s="73"/>
    </row>
    <row r="421" ht="15.75" spans="2:64">
      <c r="B421" s="69"/>
      <c r="C421" s="70"/>
      <c r="D421" s="71"/>
      <c r="E421" s="70">
        <v>320</v>
      </c>
      <c r="F421" s="70">
        <v>40</v>
      </c>
      <c r="G421" s="70"/>
      <c r="H421" s="72"/>
      <c r="I421" s="73"/>
      <c r="J421" s="77"/>
      <c r="K421" s="80" t="s">
        <v>34</v>
      </c>
      <c r="L421" s="81">
        <f>L417/6</f>
        <v>71.3416666666667</v>
      </c>
      <c r="O421" s="59"/>
      <c r="P421">
        <v>158</v>
      </c>
      <c r="Q421" s="61"/>
      <c r="R421" s="62"/>
      <c r="S421" s="61"/>
      <c r="T421" s="61">
        <v>30</v>
      </c>
      <c r="U421" s="75" t="s">
        <v>97</v>
      </c>
      <c r="V421" s="76"/>
      <c r="W421" s="77"/>
      <c r="X421" s="82" t="s">
        <v>37</v>
      </c>
      <c r="Y421" s="83">
        <f>Y416/8</f>
        <v>179.18125</v>
      </c>
      <c r="AB421" s="50"/>
      <c r="AC421" s="51" t="s">
        <v>17</v>
      </c>
      <c r="AD421" s="51" t="s">
        <v>18</v>
      </c>
      <c r="AE421" s="52" t="s">
        <v>17</v>
      </c>
      <c r="AF421" s="52" t="s">
        <v>18</v>
      </c>
      <c r="AG421" s="53"/>
      <c r="AH421" s="54"/>
      <c r="AI421" s="55"/>
      <c r="AJ421" s="56" t="s">
        <v>19</v>
      </c>
      <c r="AK421" s="57"/>
      <c r="AL421" s="49">
        <f>AD444+AF444</f>
        <v>637.2</v>
      </c>
      <c r="AO421" s="102">
        <f t="shared" ref="AO421:AT421" si="75">SUM(AO399:AO420)</f>
        <v>2341</v>
      </c>
      <c r="AP421" s="103">
        <f t="shared" si="75"/>
        <v>2837</v>
      </c>
      <c r="AQ421" s="104">
        <f t="shared" si="75"/>
        <v>185</v>
      </c>
      <c r="AR421" s="105">
        <f t="shared" si="75"/>
        <v>2070</v>
      </c>
      <c r="AS421" s="106">
        <f t="shared" si="75"/>
        <v>134.3</v>
      </c>
      <c r="AT421" s="107">
        <f t="shared" si="75"/>
        <v>1496</v>
      </c>
      <c r="AU421" s="108" t="s">
        <v>54</v>
      </c>
      <c r="AV421" s="109"/>
      <c r="BB421" s="59"/>
      <c r="BC421" s="60"/>
      <c r="BD421" s="61"/>
      <c r="BE421" s="62"/>
      <c r="BF421" s="61"/>
      <c r="BG421" s="61"/>
      <c r="BH421" s="75"/>
      <c r="BI421" s="76"/>
    </row>
    <row r="422" ht="20" customHeight="1" spans="2:64">
      <c r="B422" s="59"/>
      <c r="C422" s="60"/>
      <c r="D422" s="61"/>
      <c r="E422" s="62">
        <v>273</v>
      </c>
      <c r="F422" s="61">
        <v>27.3</v>
      </c>
      <c r="G422" s="61"/>
      <c r="H422" s="75"/>
      <c r="I422" s="76"/>
      <c r="J422" s="77"/>
      <c r="K422" s="82" t="s">
        <v>37</v>
      </c>
      <c r="L422" s="83">
        <f>L417/8</f>
        <v>53.50625</v>
      </c>
      <c r="O422" s="69"/>
      <c r="P422" s="60"/>
      <c r="Q422" s="85"/>
      <c r="R422" s="70">
        <v>372</v>
      </c>
      <c r="S422" s="70">
        <v>55.8</v>
      </c>
      <c r="T422" s="70">
        <v>7</v>
      </c>
      <c r="U422" s="72" t="s">
        <v>32</v>
      </c>
      <c r="V422" s="73"/>
      <c r="W422" s="86"/>
      <c r="X422" s="77"/>
      <c r="Y422" s="87"/>
      <c r="AB422" s="59">
        <v>145</v>
      </c>
      <c r="AC422" s="60"/>
      <c r="AD422" s="61"/>
      <c r="AE422" s="62">
        <v>158</v>
      </c>
      <c r="AF422" s="61">
        <v>15.8</v>
      </c>
      <c r="AG422" s="61">
        <v>2651</v>
      </c>
      <c r="AH422" s="63" t="s">
        <v>48</v>
      </c>
      <c r="AI422" s="64"/>
      <c r="AJ422" s="65" t="s">
        <v>21</v>
      </c>
      <c r="AK422" s="66"/>
      <c r="AL422" s="67">
        <f>AG444</f>
        <v>2651</v>
      </c>
      <c r="BB422" s="96"/>
      <c r="BC422" s="97"/>
      <c r="BD422" s="98"/>
      <c r="BE422" s="99"/>
      <c r="BF422" s="98"/>
      <c r="BG422" s="98"/>
      <c r="BH422" s="72"/>
      <c r="BI422" s="73"/>
    </row>
    <row r="423" ht="15.75" spans="2:64">
      <c r="B423" s="69"/>
      <c r="C423" s="70">
        <v>445</v>
      </c>
      <c r="D423" s="85">
        <v>35</v>
      </c>
      <c r="E423" s="70"/>
      <c r="F423" s="70"/>
      <c r="G423" s="70"/>
      <c r="H423" s="72"/>
      <c r="I423" s="73"/>
      <c r="J423" s="86"/>
      <c r="K423" s="77"/>
      <c r="L423" s="87"/>
      <c r="O423" s="59"/>
      <c r="P423" s="60"/>
      <c r="Q423" s="61"/>
      <c r="R423" s="62">
        <v>583</v>
      </c>
      <c r="S423" s="61">
        <v>58</v>
      </c>
      <c r="T423" s="61">
        <v>30</v>
      </c>
      <c r="U423" s="75" t="s">
        <v>29</v>
      </c>
      <c r="V423" s="76"/>
      <c r="W423" s="77"/>
      <c r="X423" s="58"/>
      <c r="Y423" s="58"/>
      <c r="AB423" s="69">
        <v>610</v>
      </c>
      <c r="AC423" s="70">
        <v>318</v>
      </c>
      <c r="AD423" s="71">
        <v>32</v>
      </c>
      <c r="AE423" s="70"/>
      <c r="AF423" s="70"/>
      <c r="AG423" s="70"/>
      <c r="AH423" s="72"/>
      <c r="AI423" s="73"/>
      <c r="AJ423" s="74" t="s">
        <v>26</v>
      </c>
      <c r="AK423" s="57"/>
      <c r="AL423" s="49">
        <f>AB444+AL420+AL421-AL422-AE444-AF444</f>
        <v>3677</v>
      </c>
      <c r="BB423" s="102">
        <f t="shared" ref="BB423:BG423" si="76">SUM(BB403:BB422)</f>
        <v>620</v>
      </c>
      <c r="BC423" s="103">
        <f t="shared" si="76"/>
        <v>1315</v>
      </c>
      <c r="BD423" s="104">
        <f t="shared" si="76"/>
        <v>228</v>
      </c>
      <c r="BE423" s="105">
        <f t="shared" si="76"/>
        <v>4118</v>
      </c>
      <c r="BF423" s="106">
        <f t="shared" si="76"/>
        <v>335.15</v>
      </c>
      <c r="BG423" s="107">
        <f t="shared" si="76"/>
        <v>135</v>
      </c>
      <c r="BH423" s="108" t="s">
        <v>54</v>
      </c>
      <c r="BI423" s="109"/>
    </row>
    <row r="424" ht="15.75" spans="2:64">
      <c r="B424" s="59"/>
      <c r="C424" s="60"/>
      <c r="D424" s="61"/>
      <c r="E424" s="62">
        <v>357</v>
      </c>
      <c r="F424" s="61">
        <v>35.7</v>
      </c>
      <c r="G424" s="61"/>
      <c r="H424" s="75"/>
      <c r="I424" s="76"/>
      <c r="J424" s="77"/>
      <c r="K424" s="58"/>
      <c r="L424" s="58"/>
      <c r="O424" s="69"/>
      <c r="P424" s="70">
        <v>242</v>
      </c>
      <c r="Q424" s="71">
        <v>50</v>
      </c>
      <c r="R424" s="70"/>
      <c r="S424" s="70"/>
      <c r="T424" s="70">
        <v>82</v>
      </c>
      <c r="U424" s="72" t="s">
        <v>245</v>
      </c>
      <c r="V424" s="73"/>
      <c r="W424" s="77"/>
      <c r="X424" s="58"/>
      <c r="Y424" s="58"/>
      <c r="AB424" s="59">
        <v>500</v>
      </c>
      <c r="AC424" s="60">
        <v>528</v>
      </c>
      <c r="AD424" s="61">
        <v>72</v>
      </c>
      <c r="AE424" s="62"/>
      <c r="AF424" s="61"/>
      <c r="AG424" s="61"/>
      <c r="AH424" s="75"/>
      <c r="AI424" s="76"/>
      <c r="AJ424" s="77"/>
      <c r="AK424" s="78" t="s">
        <v>30</v>
      </c>
      <c r="AL424" s="79">
        <f>AL421/4</f>
        <v>159.3</v>
      </c>
    </row>
    <row r="425" ht="15.75" spans="2:64">
      <c r="B425" s="69"/>
      <c r="C425" s="70"/>
      <c r="D425" s="71">
        <v>42</v>
      </c>
      <c r="E425" s="70">
        <v>336</v>
      </c>
      <c r="F425" s="70"/>
      <c r="G425" s="70"/>
      <c r="H425" s="72"/>
      <c r="I425" s="73"/>
      <c r="J425" s="77"/>
      <c r="K425" s="58"/>
      <c r="L425" s="58"/>
      <c r="O425" s="59"/>
      <c r="P425" s="60">
        <v>667</v>
      </c>
      <c r="Q425" s="88">
        <v>83</v>
      </c>
      <c r="R425" s="62"/>
      <c r="S425" s="61"/>
      <c r="T425" s="61">
        <v>140</v>
      </c>
      <c r="U425" s="75" t="s">
        <v>246</v>
      </c>
      <c r="V425" s="76"/>
      <c r="W425" s="77"/>
      <c r="X425" s="58"/>
      <c r="Y425" s="58"/>
      <c r="AB425" s="69"/>
      <c r="AC425" s="70"/>
      <c r="AD425" s="71"/>
      <c r="AE425" s="70">
        <v>436</v>
      </c>
      <c r="AF425" s="70">
        <v>43.6</v>
      </c>
      <c r="AG425" s="70"/>
      <c r="AH425" s="72"/>
      <c r="AI425" s="73"/>
      <c r="AJ425" s="77"/>
      <c r="AK425" s="80" t="s">
        <v>34</v>
      </c>
      <c r="AL425" s="81">
        <f>AL421/6</f>
        <v>106.2</v>
      </c>
      <c r="AO425" s="33" t="s">
        <v>247</v>
      </c>
      <c r="AP425" s="34"/>
      <c r="AQ425" s="34"/>
      <c r="AR425" s="34"/>
      <c r="AS425" s="34"/>
      <c r="AT425" s="34"/>
      <c r="AU425" s="34"/>
      <c r="AV425" s="34"/>
      <c r="AW425" s="34"/>
      <c r="AX425" s="34"/>
      <c r="AY425" s="35"/>
    </row>
    <row r="426" ht="15.75" spans="2:64">
      <c r="B426" s="59"/>
      <c r="C426" s="60"/>
      <c r="D426" s="88"/>
      <c r="E426" s="62">
        <v>419</v>
      </c>
      <c r="F426" s="61">
        <v>41.9</v>
      </c>
      <c r="G426" s="61"/>
      <c r="H426" s="75"/>
      <c r="I426" s="76"/>
      <c r="J426" s="77"/>
      <c r="K426" s="58"/>
      <c r="L426" s="58"/>
      <c r="O426" s="69"/>
      <c r="P426" s="70">
        <v>407</v>
      </c>
      <c r="Q426" s="71">
        <v>93</v>
      </c>
      <c r="R426" s="70"/>
      <c r="S426" s="70"/>
      <c r="T426" s="70">
        <v>38</v>
      </c>
      <c r="U426" s="72" t="s">
        <v>248</v>
      </c>
      <c r="V426" s="73"/>
      <c r="W426" s="89" t="s">
        <v>44</v>
      </c>
      <c r="X426" s="90" t="s">
        <v>45</v>
      </c>
      <c r="Y426" s="90" t="s">
        <v>46</v>
      </c>
      <c r="AB426" s="59"/>
      <c r="AC426" s="60"/>
      <c r="AD426" s="61"/>
      <c r="AE426" s="62">
        <v>137</v>
      </c>
      <c r="AF426" s="61"/>
      <c r="AG426" s="61"/>
      <c r="AH426" s="75"/>
      <c r="AI426" s="76"/>
      <c r="AJ426" s="77"/>
      <c r="AK426" s="82" t="s">
        <v>37</v>
      </c>
      <c r="AL426" s="83">
        <f>AL421/8</f>
        <v>79.65</v>
      </c>
      <c r="AO426" s="36"/>
      <c r="AP426" s="37"/>
      <c r="AQ426" s="37"/>
      <c r="AR426" s="37"/>
      <c r="AS426" s="37"/>
      <c r="AT426" s="37"/>
      <c r="AU426" s="37"/>
      <c r="AV426" s="37"/>
      <c r="AW426" s="37"/>
      <c r="AX426" s="37"/>
      <c r="AY426" s="38"/>
      <c r="BB426" s="33" t="s">
        <v>249</v>
      </c>
      <c r="BC426" s="34"/>
      <c r="BD426" s="34"/>
      <c r="BE426" s="34"/>
      <c r="BF426" s="34"/>
      <c r="BG426" s="34"/>
      <c r="BH426" s="34"/>
      <c r="BI426" s="34"/>
      <c r="BJ426" s="34"/>
      <c r="BK426" s="34"/>
      <c r="BL426" s="35"/>
    </row>
    <row r="427" ht="15.75" spans="2:64">
      <c r="B427" s="69"/>
      <c r="C427" s="70"/>
      <c r="D427" s="71"/>
      <c r="E427" s="70">
        <v>541</v>
      </c>
      <c r="F427" s="70">
        <v>81.15</v>
      </c>
      <c r="G427" s="70"/>
      <c r="H427" s="72"/>
      <c r="I427" s="73"/>
      <c r="J427" s="89" t="s">
        <v>44</v>
      </c>
      <c r="K427" s="90" t="s">
        <v>45</v>
      </c>
      <c r="L427" s="90" t="s">
        <v>46</v>
      </c>
      <c r="O427" s="59"/>
      <c r="P427" s="60">
        <v>142</v>
      </c>
      <c r="Q427" s="61">
        <v>8</v>
      </c>
      <c r="R427" s="62"/>
      <c r="S427" s="61"/>
      <c r="T427" s="61">
        <v>30</v>
      </c>
      <c r="U427" s="75" t="s">
        <v>29</v>
      </c>
      <c r="V427" s="76"/>
      <c r="W427" s="92" t="s">
        <v>47</v>
      </c>
      <c r="X427" s="93" t="s">
        <v>48</v>
      </c>
      <c r="Y427" s="93" t="s">
        <v>65</v>
      </c>
      <c r="AB427" s="69"/>
      <c r="AC427" s="70">
        <v>137</v>
      </c>
      <c r="AD427" s="85"/>
      <c r="AE427" s="70"/>
      <c r="AF427" s="70"/>
      <c r="AG427" s="70"/>
      <c r="AH427" s="72"/>
      <c r="AI427" s="73"/>
      <c r="AJ427" s="86"/>
      <c r="AK427" s="77"/>
      <c r="AL427" s="87"/>
      <c r="AO427" s="39" t="s">
        <v>12</v>
      </c>
      <c r="AP427" s="40" t="s">
        <v>13</v>
      </c>
      <c r="AQ427" s="41"/>
      <c r="AR427" s="42" t="s">
        <v>14</v>
      </c>
      <c r="AS427" s="43"/>
      <c r="AT427" s="44" t="s">
        <v>15</v>
      </c>
      <c r="AU427" s="45"/>
      <c r="AV427" s="46"/>
      <c r="AW427" s="47" t="s">
        <v>16</v>
      </c>
      <c r="AX427" s="48"/>
      <c r="AY427" s="49">
        <f>AP448+AR448</f>
        <v>1861</v>
      </c>
      <c r="BB427" s="36"/>
      <c r="BC427" s="37"/>
      <c r="BD427" s="37"/>
      <c r="BE427" s="37"/>
      <c r="BF427" s="37"/>
      <c r="BG427" s="37"/>
      <c r="BH427" s="37"/>
      <c r="BI427" s="37"/>
      <c r="BJ427" s="37"/>
      <c r="BK427" s="37"/>
      <c r="BL427" s="38"/>
    </row>
    <row r="428" ht="15.75" spans="2:64">
      <c r="B428" s="59"/>
      <c r="C428" s="60"/>
      <c r="D428" s="61">
        <v>50</v>
      </c>
      <c r="E428" s="62">
        <v>426</v>
      </c>
      <c r="F428" s="61"/>
      <c r="G428" s="61"/>
      <c r="H428" s="75"/>
      <c r="I428" s="76"/>
      <c r="J428" s="92" t="s">
        <v>47</v>
      </c>
      <c r="K428" s="93" t="s">
        <v>77</v>
      </c>
      <c r="L428" s="93" t="s">
        <v>39</v>
      </c>
      <c r="O428" s="69"/>
      <c r="P428" s="70"/>
      <c r="Q428" s="71"/>
      <c r="R428" s="70">
        <v>525</v>
      </c>
      <c r="S428" s="70">
        <v>52.5</v>
      </c>
      <c r="T428" s="70">
        <v>30</v>
      </c>
      <c r="U428" s="72" t="s">
        <v>29</v>
      </c>
      <c r="V428" s="73"/>
      <c r="W428" s="94" t="s">
        <v>52</v>
      </c>
      <c r="X428" s="95" t="s">
        <v>27</v>
      </c>
      <c r="Y428" s="95" t="s">
        <v>43</v>
      </c>
      <c r="AB428" s="59"/>
      <c r="AC428" s="60">
        <v>233</v>
      </c>
      <c r="AD428" s="61">
        <v>7</v>
      </c>
      <c r="AE428" s="62"/>
      <c r="AF428" s="61"/>
      <c r="AG428" s="61"/>
      <c r="AH428" s="75"/>
      <c r="AI428" s="76"/>
      <c r="AJ428" s="77"/>
      <c r="AK428" s="58"/>
      <c r="AL428" s="58"/>
      <c r="AO428" s="50"/>
      <c r="AP428" s="51" t="s">
        <v>17</v>
      </c>
      <c r="AQ428" s="51" t="s">
        <v>18</v>
      </c>
      <c r="AR428" s="52" t="s">
        <v>17</v>
      </c>
      <c r="AS428" s="52" t="s">
        <v>18</v>
      </c>
      <c r="AT428" s="53"/>
      <c r="AU428" s="54"/>
      <c r="AV428" s="55"/>
      <c r="AW428" s="56" t="s">
        <v>19</v>
      </c>
      <c r="AX428" s="57"/>
      <c r="AY428" s="49">
        <f>AQ448+AS448</f>
        <v>129.1</v>
      </c>
      <c r="BB428" s="39" t="s">
        <v>12</v>
      </c>
      <c r="BC428" s="40" t="s">
        <v>13</v>
      </c>
      <c r="BD428" s="41"/>
      <c r="BE428" s="42" t="s">
        <v>14</v>
      </c>
      <c r="BF428" s="43"/>
      <c r="BG428" s="44" t="s">
        <v>15</v>
      </c>
      <c r="BH428" s="45"/>
      <c r="BI428" s="46"/>
      <c r="BJ428" s="47" t="s">
        <v>16</v>
      </c>
      <c r="BK428" s="48"/>
      <c r="BL428" s="49">
        <f>BC450+BE450</f>
        <v>5213</v>
      </c>
    </row>
    <row r="429" ht="15.75" spans="2:64">
      <c r="B429" s="69"/>
      <c r="C429" s="70"/>
      <c r="D429" s="71"/>
      <c r="E429" s="70"/>
      <c r="F429" s="70"/>
      <c r="G429" s="70"/>
      <c r="H429" s="72"/>
      <c r="I429" s="73"/>
      <c r="J429" s="94" t="s">
        <v>52</v>
      </c>
      <c r="K429" s="95" t="s">
        <v>48</v>
      </c>
      <c r="L429" s="95" t="s">
        <v>31</v>
      </c>
      <c r="O429" s="59"/>
      <c r="P429" s="60"/>
      <c r="Q429" s="61"/>
      <c r="R429" s="62">
        <v>450</v>
      </c>
      <c r="S429" s="61">
        <v>45</v>
      </c>
      <c r="T429" s="61">
        <v>137</v>
      </c>
      <c r="U429" s="75" t="s">
        <v>65</v>
      </c>
      <c r="V429" s="76"/>
      <c r="W429" s="77"/>
      <c r="X429" s="77"/>
      <c r="Y429" s="87"/>
      <c r="AB429" s="69"/>
      <c r="AC429" s="70">
        <v>120</v>
      </c>
      <c r="AD429" s="71"/>
      <c r="AE429" s="70"/>
      <c r="AF429" s="70"/>
      <c r="AG429" s="70"/>
      <c r="AH429" s="72"/>
      <c r="AI429" s="73"/>
      <c r="AJ429" s="77"/>
      <c r="AK429" s="58"/>
      <c r="AL429" s="58"/>
      <c r="AO429" s="59">
        <v>666</v>
      </c>
      <c r="AP429" s="68">
        <v>137</v>
      </c>
      <c r="AQ429" s="61"/>
      <c r="AR429" s="62"/>
      <c r="AS429" s="61"/>
      <c r="AT429" s="61">
        <v>30</v>
      </c>
      <c r="AU429" s="63" t="s">
        <v>29</v>
      </c>
      <c r="AV429" s="64"/>
      <c r="AW429" s="65" t="s">
        <v>21</v>
      </c>
      <c r="AX429" s="66"/>
      <c r="AY429" s="67">
        <f>AT448</f>
        <v>56</v>
      </c>
      <c r="BB429" s="50"/>
      <c r="BC429" s="51" t="s">
        <v>17</v>
      </c>
      <c r="BD429" s="51" t="s">
        <v>18</v>
      </c>
      <c r="BE429" s="52" t="s">
        <v>17</v>
      </c>
      <c r="BF429" s="52" t="s">
        <v>18</v>
      </c>
      <c r="BG429" s="53"/>
      <c r="BH429" s="54"/>
      <c r="BI429" s="55"/>
      <c r="BJ429" s="56" t="s">
        <v>19</v>
      </c>
      <c r="BK429" s="57"/>
      <c r="BL429" s="49">
        <f>BD450+BF450</f>
        <v>402.6</v>
      </c>
    </row>
    <row r="430" ht="15.75" spans="2:64">
      <c r="B430" s="59"/>
      <c r="C430" s="60"/>
      <c r="D430" s="61"/>
      <c r="E430" s="62"/>
      <c r="F430" s="61"/>
      <c r="G430" s="61"/>
      <c r="H430" s="75"/>
      <c r="I430" s="76"/>
      <c r="J430" s="77"/>
      <c r="K430" s="77"/>
      <c r="L430" s="87"/>
      <c r="O430" s="69"/>
      <c r="P430" s="70"/>
      <c r="Q430" s="71"/>
      <c r="R430" s="70">
        <v>387</v>
      </c>
      <c r="S430" s="70">
        <v>38</v>
      </c>
      <c r="T430" s="70">
        <v>255</v>
      </c>
      <c r="U430" s="72" t="s">
        <v>250</v>
      </c>
      <c r="V430" s="73"/>
      <c r="W430" s="58"/>
      <c r="X430" s="58"/>
      <c r="Y430" s="58"/>
      <c r="AB430" s="59"/>
      <c r="AC430" s="60">
        <v>218</v>
      </c>
      <c r="AD430" s="88">
        <v>20</v>
      </c>
      <c r="AE430" s="62"/>
      <c r="AF430" s="61"/>
      <c r="AG430" s="61"/>
      <c r="AH430" s="75"/>
      <c r="AI430" s="76"/>
      <c r="AJ430" s="77"/>
      <c r="AK430" s="58"/>
      <c r="AL430" s="58"/>
      <c r="AO430" s="69"/>
      <c r="AP430" s="70">
        <v>207</v>
      </c>
      <c r="AQ430" s="71"/>
      <c r="AR430" s="70">
        <v>223</v>
      </c>
      <c r="AS430" s="70">
        <v>22.3</v>
      </c>
      <c r="AT430" s="70">
        <v>26</v>
      </c>
      <c r="AU430" s="72" t="s">
        <v>57</v>
      </c>
      <c r="AV430" s="73"/>
      <c r="AW430" s="74" t="s">
        <v>26</v>
      </c>
      <c r="AX430" s="57"/>
      <c r="AY430" s="49">
        <f>AO448+AY427+AY428-AY429-AR448-AS448</f>
        <v>1300</v>
      </c>
      <c r="BB430" s="59">
        <v>3538</v>
      </c>
      <c r="BC430" s="68">
        <v>204</v>
      </c>
      <c r="BD430" s="61"/>
      <c r="BE430" s="62"/>
      <c r="BF430" s="61"/>
      <c r="BG430" s="61">
        <v>25</v>
      </c>
      <c r="BH430" s="63" t="s">
        <v>29</v>
      </c>
      <c r="BI430" s="64"/>
      <c r="BJ430" s="65" t="s">
        <v>21</v>
      </c>
      <c r="BK430" s="66"/>
      <c r="BL430" s="67">
        <f>BG450</f>
        <v>4400</v>
      </c>
    </row>
    <row r="431" ht="15.75" spans="2:64">
      <c r="B431" s="69"/>
      <c r="C431" s="70"/>
      <c r="D431" s="71"/>
      <c r="E431" s="70"/>
      <c r="F431" s="70"/>
      <c r="G431" s="70"/>
      <c r="H431" s="72"/>
      <c r="I431" s="73"/>
      <c r="J431" s="58"/>
      <c r="K431" s="58"/>
      <c r="L431" s="58"/>
      <c r="O431" s="59"/>
      <c r="P431" s="60"/>
      <c r="Q431" s="61"/>
      <c r="R431" s="62">
        <v>455</v>
      </c>
      <c r="S431" s="61">
        <v>45</v>
      </c>
      <c r="T431" s="61"/>
      <c r="U431" s="75"/>
      <c r="V431" s="76"/>
      <c r="W431" s="58"/>
      <c r="X431" s="58"/>
      <c r="Y431" s="58"/>
      <c r="AB431" s="69"/>
      <c r="AC431" s="70"/>
      <c r="AD431" s="71"/>
      <c r="AE431" s="70">
        <v>548</v>
      </c>
      <c r="AF431" s="70">
        <v>54.8</v>
      </c>
      <c r="AG431" s="70"/>
      <c r="AH431" s="72"/>
      <c r="AI431" s="73"/>
      <c r="AJ431" s="89" t="s">
        <v>44</v>
      </c>
      <c r="AK431" s="90" t="s">
        <v>45</v>
      </c>
      <c r="AL431" s="90" t="s">
        <v>46</v>
      </c>
      <c r="AO431" s="59"/>
      <c r="AP431" s="60"/>
      <c r="AQ431" s="61"/>
      <c r="AR431" s="62">
        <v>478</v>
      </c>
      <c r="AS431" s="61">
        <v>47.8</v>
      </c>
      <c r="AT431" s="61"/>
      <c r="AU431" s="75"/>
      <c r="AV431" s="76"/>
      <c r="AW431" s="77"/>
      <c r="AX431" s="78" t="s">
        <v>30</v>
      </c>
      <c r="AY431" s="79">
        <f>AY428/4</f>
        <v>32.275</v>
      </c>
      <c r="BB431" s="69"/>
      <c r="BC431" s="70">
        <v>428</v>
      </c>
      <c r="BD431" s="71"/>
      <c r="BE431" s="70"/>
      <c r="BF431" s="70"/>
      <c r="BG431" s="70">
        <v>45.1</v>
      </c>
      <c r="BH431" s="72" t="s">
        <v>251</v>
      </c>
      <c r="BI431" s="73"/>
      <c r="BJ431" s="74" t="s">
        <v>26</v>
      </c>
      <c r="BK431" s="57"/>
      <c r="BL431" s="49">
        <f>BB450+BL428+BL429-BL430-BE450-BF450</f>
        <v>1227</v>
      </c>
    </row>
    <row r="432" spans="2:64">
      <c r="B432" s="59"/>
      <c r="C432" s="60"/>
      <c r="D432" s="61"/>
      <c r="E432" s="62"/>
      <c r="F432" s="61"/>
      <c r="G432" s="61"/>
      <c r="H432" s="75"/>
      <c r="I432" s="76"/>
      <c r="J432" s="58"/>
      <c r="K432" s="58"/>
      <c r="L432" s="58"/>
      <c r="O432" s="69"/>
      <c r="P432" s="71">
        <v>766</v>
      </c>
      <c r="Q432" s="71">
        <v>69</v>
      </c>
      <c r="R432" s="70"/>
      <c r="S432" s="70"/>
      <c r="T432" s="70"/>
      <c r="U432" s="72"/>
      <c r="V432" s="73"/>
      <c r="W432" s="58"/>
      <c r="X432" s="58"/>
      <c r="Y432" s="58"/>
      <c r="AB432" s="59"/>
      <c r="AC432" s="60">
        <v>230</v>
      </c>
      <c r="AD432" s="61">
        <v>20</v>
      </c>
      <c r="AE432" s="62"/>
      <c r="AF432" s="61"/>
      <c r="AG432" s="61"/>
      <c r="AH432" s="75"/>
      <c r="AI432" s="76"/>
      <c r="AJ432" s="92" t="s">
        <v>47</v>
      </c>
      <c r="AK432" s="93" t="s">
        <v>48</v>
      </c>
      <c r="AL432" s="93" t="s">
        <v>65</v>
      </c>
      <c r="AO432" s="69"/>
      <c r="AP432" s="70">
        <v>346</v>
      </c>
      <c r="AQ432" s="71"/>
      <c r="AR432" s="70"/>
      <c r="AS432" s="70"/>
      <c r="AT432" s="70"/>
      <c r="AU432" s="72"/>
      <c r="AV432" s="73"/>
      <c r="AW432" s="77"/>
      <c r="AX432" s="80" t="s">
        <v>34</v>
      </c>
      <c r="AY432" s="81">
        <f>AY428/6</f>
        <v>21.5166666666667</v>
      </c>
      <c r="BB432" s="59"/>
      <c r="BC432" s="60">
        <v>10</v>
      </c>
      <c r="BD432" s="61"/>
      <c r="BE432" s="62"/>
      <c r="BF432" s="61"/>
      <c r="BG432" s="61">
        <v>14.9</v>
      </c>
      <c r="BH432" s="75" t="s">
        <v>252</v>
      </c>
      <c r="BI432" s="76"/>
      <c r="BJ432" s="77"/>
      <c r="BK432" s="78" t="s">
        <v>30</v>
      </c>
      <c r="BL432" s="79">
        <f>BL429/4</f>
        <v>100.65</v>
      </c>
    </row>
    <row r="433" spans="2:64">
      <c r="B433" s="69"/>
      <c r="C433" s="71"/>
      <c r="D433" s="71"/>
      <c r="E433" s="70"/>
      <c r="F433" s="70"/>
      <c r="G433" s="70"/>
      <c r="H433" s="72"/>
      <c r="I433" s="73"/>
      <c r="J433" s="58"/>
      <c r="K433" s="58"/>
      <c r="L433" s="58"/>
      <c r="O433" s="59"/>
      <c r="P433" s="61">
        <v>285</v>
      </c>
      <c r="Q433" s="61">
        <v>16</v>
      </c>
      <c r="R433" s="62"/>
      <c r="S433" s="61"/>
      <c r="T433" s="61"/>
      <c r="U433" s="75"/>
      <c r="V433" s="76"/>
      <c r="W433" s="58"/>
      <c r="X433" s="58"/>
      <c r="Y433" s="58"/>
      <c r="AB433" s="69"/>
      <c r="AC433" s="70">
        <v>343</v>
      </c>
      <c r="AD433" s="71">
        <v>40</v>
      </c>
      <c r="AE433" s="70"/>
      <c r="AF433" s="70"/>
      <c r="AG433" s="70"/>
      <c r="AH433" s="72"/>
      <c r="AI433" s="73"/>
      <c r="AJ433" s="94" t="s">
        <v>52</v>
      </c>
      <c r="AK433" s="95" t="s">
        <v>27</v>
      </c>
      <c r="AL433" s="95" t="s">
        <v>43</v>
      </c>
      <c r="AO433" s="59"/>
      <c r="AP433" s="60"/>
      <c r="AQ433" s="61"/>
      <c r="AR433" s="62">
        <v>240</v>
      </c>
      <c r="AS433" s="61">
        <v>36</v>
      </c>
      <c r="AT433" s="61"/>
      <c r="AU433" s="75"/>
      <c r="AV433" s="84"/>
      <c r="AW433" s="77"/>
      <c r="AX433" s="82" t="s">
        <v>37</v>
      </c>
      <c r="AY433" s="83">
        <f>AY428/8</f>
        <v>16.1375</v>
      </c>
      <c r="BB433" s="69"/>
      <c r="BC433" s="70">
        <v>341</v>
      </c>
      <c r="BD433" s="71">
        <v>50</v>
      </c>
      <c r="BE433" s="70"/>
      <c r="BF433" s="70"/>
      <c r="BG433" s="70">
        <v>385</v>
      </c>
      <c r="BH433" s="72" t="s">
        <v>221</v>
      </c>
      <c r="BI433" s="73"/>
      <c r="BJ433" s="77"/>
      <c r="BK433" s="80" t="s">
        <v>34</v>
      </c>
      <c r="BL433" s="81">
        <f>BL429/6</f>
        <v>67.1</v>
      </c>
    </row>
    <row r="434" spans="2:64">
      <c r="B434" s="59"/>
      <c r="C434" s="61"/>
      <c r="D434" s="61"/>
      <c r="E434" s="62"/>
      <c r="F434" s="61"/>
      <c r="G434" s="61"/>
      <c r="H434" s="75"/>
      <c r="I434" s="76"/>
      <c r="J434" s="58"/>
      <c r="K434" s="58"/>
      <c r="L434" s="58"/>
      <c r="O434" s="69"/>
      <c r="P434" s="71"/>
      <c r="Q434" s="71"/>
      <c r="R434" s="70">
        <v>460</v>
      </c>
      <c r="S434" s="70">
        <v>46</v>
      </c>
      <c r="T434" s="70"/>
      <c r="U434" s="72"/>
      <c r="V434" s="73"/>
      <c r="W434" s="58"/>
      <c r="X434" s="58"/>
      <c r="Y434" s="58"/>
      <c r="AB434" s="59"/>
      <c r="AC434" s="60">
        <v>357</v>
      </c>
      <c r="AD434" s="61">
        <v>40</v>
      </c>
      <c r="AE434" s="62"/>
      <c r="AF434" s="61"/>
      <c r="AG434" s="61"/>
      <c r="AH434" s="75"/>
      <c r="AI434" s="76"/>
      <c r="AJ434" s="77"/>
      <c r="AK434" s="77"/>
      <c r="AL434" s="87"/>
      <c r="AO434" s="69"/>
      <c r="AP434" s="70"/>
      <c r="AQ434" s="85"/>
      <c r="AR434" s="70">
        <v>230</v>
      </c>
      <c r="AS434" s="70">
        <v>23</v>
      </c>
      <c r="AT434" s="70"/>
      <c r="AU434" s="72"/>
      <c r="AV434" s="73"/>
      <c r="AW434" s="86"/>
      <c r="AX434" s="77"/>
      <c r="AY434" s="87"/>
      <c r="BB434" s="59"/>
      <c r="BC434" s="60"/>
      <c r="BD434" s="61"/>
      <c r="BE434" s="62">
        <v>595</v>
      </c>
      <c r="BF434" s="61">
        <v>59.5</v>
      </c>
      <c r="BG434" s="61">
        <v>50</v>
      </c>
      <c r="BH434" s="75" t="s">
        <v>253</v>
      </c>
      <c r="BI434" s="84"/>
      <c r="BJ434" s="77"/>
      <c r="BK434" s="82" t="s">
        <v>37</v>
      </c>
      <c r="BL434" s="83">
        <f>BL429/8</f>
        <v>50.325</v>
      </c>
    </row>
    <row r="435" spans="2:64">
      <c r="B435" s="69"/>
      <c r="C435" s="70"/>
      <c r="D435" s="71"/>
      <c r="E435" s="70"/>
      <c r="F435" s="70"/>
      <c r="G435" s="70"/>
      <c r="H435" s="72"/>
      <c r="I435" s="73"/>
      <c r="J435" s="58"/>
      <c r="K435" s="58"/>
      <c r="L435" s="58"/>
      <c r="O435" s="59"/>
      <c r="P435" s="61"/>
      <c r="Q435" s="61"/>
      <c r="R435" s="62">
        <v>318</v>
      </c>
      <c r="S435" s="61">
        <v>31.8</v>
      </c>
      <c r="T435" s="61"/>
      <c r="U435" s="75"/>
      <c r="V435" s="76"/>
      <c r="W435" s="58"/>
      <c r="X435" s="58"/>
      <c r="Y435" s="58"/>
      <c r="AB435" s="69"/>
      <c r="AC435" s="70">
        <v>165</v>
      </c>
      <c r="AD435" s="71">
        <v>35</v>
      </c>
      <c r="AE435" s="70"/>
      <c r="AF435" s="70"/>
      <c r="AG435" s="70"/>
      <c r="AH435" s="72"/>
      <c r="AI435" s="73"/>
      <c r="AJ435" s="58"/>
      <c r="AK435" s="58"/>
      <c r="AL435" s="58"/>
      <c r="AO435" s="59"/>
      <c r="AP435" s="60"/>
      <c r="AQ435" s="61"/>
      <c r="AR435" s="62"/>
      <c r="AS435" s="61"/>
      <c r="AT435" s="61"/>
      <c r="AU435" s="75"/>
      <c r="AV435" s="84"/>
      <c r="AW435" s="77"/>
      <c r="AX435" s="58"/>
      <c r="AY435" s="58"/>
      <c r="BB435" s="69"/>
      <c r="BC435" s="70">
        <v>729</v>
      </c>
      <c r="BD435" s="85">
        <v>20</v>
      </c>
      <c r="BE435" s="70"/>
      <c r="BF435" s="70"/>
      <c r="BG435" s="70">
        <v>8</v>
      </c>
      <c r="BH435" s="72" t="s">
        <v>254</v>
      </c>
      <c r="BI435" s="73"/>
      <c r="BJ435" s="86"/>
      <c r="BK435" s="77"/>
      <c r="BL435" s="87"/>
    </row>
    <row r="436" spans="2:64">
      <c r="B436" s="59"/>
      <c r="C436" s="60"/>
      <c r="D436" s="61"/>
      <c r="E436" s="62"/>
      <c r="F436" s="61"/>
      <c r="G436" s="61"/>
      <c r="H436" s="75"/>
      <c r="I436" s="76"/>
      <c r="O436" s="69"/>
      <c r="P436" s="71">
        <v>684</v>
      </c>
      <c r="Q436" s="71">
        <v>36</v>
      </c>
      <c r="R436" s="70"/>
      <c r="S436" s="70"/>
      <c r="T436" s="70"/>
      <c r="U436" s="72"/>
      <c r="V436" s="73"/>
      <c r="W436" s="58"/>
      <c r="AB436" s="59"/>
      <c r="AC436" s="60">
        <v>591</v>
      </c>
      <c r="AD436" s="61">
        <v>100</v>
      </c>
      <c r="AE436" s="62"/>
      <c r="AF436" s="61"/>
      <c r="AG436" s="61"/>
      <c r="AH436" s="75"/>
      <c r="AI436" s="76"/>
      <c r="AJ436" s="58"/>
      <c r="AK436" s="58"/>
      <c r="AL436" s="58"/>
      <c r="AO436" s="69"/>
      <c r="AP436" s="70"/>
      <c r="AQ436" s="85"/>
      <c r="AR436" s="70"/>
      <c r="AS436" s="70"/>
      <c r="AT436" s="70"/>
      <c r="AU436" s="72"/>
      <c r="AV436" s="73"/>
      <c r="AW436" s="77"/>
      <c r="AX436" s="58"/>
      <c r="AY436" s="58"/>
      <c r="BB436" s="59"/>
      <c r="BC436" s="60">
        <v>295</v>
      </c>
      <c r="BD436" s="61">
        <v>12</v>
      </c>
      <c r="BE436" s="62"/>
      <c r="BF436" s="61"/>
      <c r="BG436" s="61">
        <v>2478</v>
      </c>
      <c r="BH436" s="75" t="s">
        <v>38</v>
      </c>
      <c r="BI436" s="84"/>
      <c r="BJ436" s="77"/>
      <c r="BK436" s="58"/>
      <c r="BL436" s="58"/>
    </row>
    <row r="437" spans="2:64">
      <c r="B437" s="69"/>
      <c r="C437" s="112"/>
      <c r="D437" s="71"/>
      <c r="E437" s="58"/>
      <c r="F437" s="70"/>
      <c r="G437" s="70"/>
      <c r="H437" s="72"/>
      <c r="I437" s="73"/>
      <c r="O437" s="59"/>
      <c r="P437" s="61"/>
      <c r="Q437" s="61"/>
      <c r="R437" s="62">
        <v>958</v>
      </c>
      <c r="S437" s="61">
        <v>95.8</v>
      </c>
      <c r="T437" s="61"/>
      <c r="U437" s="75"/>
      <c r="V437" s="76"/>
      <c r="W437" s="58"/>
      <c r="AB437" s="69"/>
      <c r="AC437" s="71">
        <v>304</v>
      </c>
      <c r="AD437" s="71"/>
      <c r="AE437" s="70"/>
      <c r="AF437" s="70"/>
      <c r="AG437" s="70"/>
      <c r="AH437" s="72"/>
      <c r="AI437" s="73"/>
      <c r="AJ437" s="58"/>
      <c r="AK437" s="58"/>
      <c r="AL437" s="58"/>
      <c r="AO437" s="59"/>
      <c r="AP437" s="60"/>
      <c r="AQ437" s="61"/>
      <c r="AR437" s="62"/>
      <c r="AS437" s="61"/>
      <c r="AT437" s="61"/>
      <c r="AU437" s="75"/>
      <c r="AV437" s="84"/>
      <c r="AW437" s="77"/>
      <c r="AX437" s="58"/>
      <c r="AY437" s="58"/>
      <c r="BB437" s="69"/>
      <c r="BC437" s="70"/>
      <c r="BD437" s="85"/>
      <c r="BE437" s="70">
        <v>372</v>
      </c>
      <c r="BF437" s="70">
        <v>37.2</v>
      </c>
      <c r="BG437" s="70">
        <v>1234</v>
      </c>
      <c r="BH437" s="72" t="s">
        <v>43</v>
      </c>
      <c r="BI437" s="73"/>
      <c r="BJ437" s="77"/>
      <c r="BK437" s="58"/>
      <c r="BL437" s="58"/>
    </row>
    <row r="438" spans="2:64">
      <c r="B438" s="59"/>
      <c r="C438" s="60"/>
      <c r="D438" s="61"/>
      <c r="E438" s="62"/>
      <c r="F438" s="61"/>
      <c r="G438" s="61"/>
      <c r="H438" s="75"/>
      <c r="I438" s="76"/>
      <c r="O438" s="69"/>
      <c r="P438" s="71"/>
      <c r="Q438" s="71"/>
      <c r="R438" s="70">
        <v>137</v>
      </c>
      <c r="S438" s="70"/>
      <c r="T438" s="70"/>
      <c r="U438" s="72"/>
      <c r="V438" s="73"/>
      <c r="W438" s="58"/>
      <c r="AB438" s="59"/>
      <c r="AC438" s="61">
        <v>273</v>
      </c>
      <c r="AD438" s="61">
        <v>57</v>
      </c>
      <c r="AE438" s="62"/>
      <c r="AF438" s="61"/>
      <c r="AG438" s="61"/>
      <c r="AH438" s="75"/>
      <c r="AI438" s="76"/>
      <c r="AJ438" s="58"/>
      <c r="AK438" s="58"/>
      <c r="AL438" s="58"/>
      <c r="AO438" s="69"/>
      <c r="AP438" s="70"/>
      <c r="AQ438" s="85"/>
      <c r="AR438" s="70"/>
      <c r="AS438" s="70"/>
      <c r="AT438" s="70"/>
      <c r="AU438" s="72"/>
      <c r="AV438" s="73"/>
      <c r="AW438" s="89" t="s">
        <v>44</v>
      </c>
      <c r="AX438" s="90" t="s">
        <v>45</v>
      </c>
      <c r="AY438" s="90" t="s">
        <v>46</v>
      </c>
      <c r="BB438" s="59"/>
      <c r="BC438" s="60"/>
      <c r="BD438" s="61"/>
      <c r="BE438" s="62">
        <v>230</v>
      </c>
      <c r="BF438" s="61">
        <v>23</v>
      </c>
      <c r="BG438" s="61">
        <v>60</v>
      </c>
      <c r="BH438" s="75" t="s">
        <v>255</v>
      </c>
      <c r="BI438" s="84"/>
      <c r="BJ438" s="77"/>
      <c r="BK438" s="58"/>
      <c r="BL438" s="58"/>
    </row>
    <row r="439" spans="2:64">
      <c r="B439" s="96"/>
      <c r="C439" s="97"/>
      <c r="D439" s="98"/>
      <c r="E439" s="99"/>
      <c r="F439" s="98"/>
      <c r="G439" s="98"/>
      <c r="H439" s="72"/>
      <c r="I439" s="73"/>
      <c r="O439" s="59"/>
      <c r="P439" s="61">
        <v>217</v>
      </c>
      <c r="Q439" s="61">
        <v>20</v>
      </c>
      <c r="R439" s="62"/>
      <c r="S439" s="61"/>
      <c r="T439" s="61"/>
      <c r="U439" s="75"/>
      <c r="V439" s="76"/>
      <c r="W439" s="58"/>
      <c r="AB439" s="69"/>
      <c r="AC439" s="70">
        <v>733</v>
      </c>
      <c r="AD439" s="71">
        <v>100</v>
      </c>
      <c r="AE439" s="70"/>
      <c r="AF439" s="70"/>
      <c r="AG439" s="70"/>
      <c r="AH439" s="72"/>
      <c r="AI439" s="73"/>
      <c r="AJ439" s="58"/>
      <c r="AK439" s="58"/>
      <c r="AL439" s="58"/>
      <c r="AO439" s="59"/>
      <c r="AP439" s="60"/>
      <c r="AQ439" s="61"/>
      <c r="AR439" s="62"/>
      <c r="AS439" s="61"/>
      <c r="AT439" s="61"/>
      <c r="AU439" s="75"/>
      <c r="AV439" s="84"/>
      <c r="AW439" s="92" t="s">
        <v>47</v>
      </c>
      <c r="AX439" s="93" t="s">
        <v>51</v>
      </c>
      <c r="AY439" s="93" t="s">
        <v>43</v>
      </c>
      <c r="BB439" s="69"/>
      <c r="BC439" s="70"/>
      <c r="BD439" s="85"/>
      <c r="BE439" s="70">
        <v>498</v>
      </c>
      <c r="BF439" s="70">
        <v>49.8</v>
      </c>
      <c r="BG439" s="70">
        <v>100</v>
      </c>
      <c r="BH439" s="72" t="s">
        <v>256</v>
      </c>
      <c r="BI439" s="73"/>
      <c r="BJ439" s="89" t="s">
        <v>44</v>
      </c>
      <c r="BK439" s="90" t="s">
        <v>45</v>
      </c>
      <c r="BL439" s="90" t="s">
        <v>46</v>
      </c>
    </row>
    <row r="440" spans="2:64">
      <c r="B440" s="59"/>
      <c r="C440" s="60"/>
      <c r="D440" s="61"/>
      <c r="E440" s="62"/>
      <c r="F440" s="61"/>
      <c r="G440" s="61"/>
      <c r="H440" s="75"/>
      <c r="I440" s="76"/>
      <c r="O440" s="69"/>
      <c r="P440" s="71"/>
      <c r="Q440" s="71"/>
      <c r="R440" s="70">
        <v>339</v>
      </c>
      <c r="S440" s="70">
        <v>33.9</v>
      </c>
      <c r="T440" s="70"/>
      <c r="U440" s="72"/>
      <c r="V440" s="73"/>
      <c r="W440" s="58"/>
      <c r="AB440" s="59"/>
      <c r="AC440" s="60"/>
      <c r="AD440" s="61"/>
      <c r="AE440" s="62"/>
      <c r="AF440" s="61"/>
      <c r="AG440" s="61"/>
      <c r="AH440" s="75"/>
      <c r="AI440" s="76"/>
      <c r="AJ440" s="58"/>
      <c r="AK440" s="58"/>
      <c r="AL440" s="58"/>
      <c r="AO440" s="69"/>
      <c r="AP440" s="70"/>
      <c r="AQ440" s="85"/>
      <c r="AR440" s="70"/>
      <c r="AS440" s="70"/>
      <c r="AT440" s="70"/>
      <c r="AU440" s="72"/>
      <c r="AV440" s="73"/>
      <c r="AW440" s="94" t="s">
        <v>52</v>
      </c>
      <c r="AX440" s="95" t="s">
        <v>27</v>
      </c>
      <c r="AY440" s="95" t="s">
        <v>67</v>
      </c>
      <c r="BB440" s="59"/>
      <c r="BC440" s="60"/>
      <c r="BD440" s="61"/>
      <c r="BE440" s="62">
        <v>342</v>
      </c>
      <c r="BF440" s="61">
        <v>34.2</v>
      </c>
      <c r="BG440" s="61"/>
      <c r="BH440" s="75"/>
      <c r="BI440" s="84"/>
      <c r="BJ440" s="92" t="s">
        <v>47</v>
      </c>
      <c r="BK440" s="93" t="s">
        <v>27</v>
      </c>
      <c r="BL440" s="93" t="s">
        <v>43</v>
      </c>
    </row>
    <row r="441" spans="2:64">
      <c r="B441" s="59"/>
      <c r="C441" s="60"/>
      <c r="D441" s="61"/>
      <c r="E441" s="62"/>
      <c r="F441" s="61"/>
      <c r="G441" s="61"/>
      <c r="H441" s="75"/>
      <c r="I441" s="76"/>
      <c r="O441" s="59"/>
      <c r="P441" s="61">
        <v>15</v>
      </c>
      <c r="Q441" s="61"/>
      <c r="R441" s="62"/>
      <c r="S441" s="61"/>
      <c r="T441" s="61"/>
      <c r="U441" s="75"/>
      <c r="V441" s="76"/>
      <c r="W441" s="58"/>
      <c r="AB441" s="69"/>
      <c r="AC441" s="70"/>
      <c r="AD441" s="71"/>
      <c r="AE441" s="70"/>
      <c r="AF441" s="70"/>
      <c r="AG441" s="70"/>
      <c r="AH441" s="72"/>
      <c r="AI441" s="73"/>
      <c r="AJ441" s="58"/>
      <c r="AO441" s="59"/>
      <c r="AP441" s="60"/>
      <c r="AQ441" s="61"/>
      <c r="AR441" s="62"/>
      <c r="AS441" s="61"/>
      <c r="AT441" s="61"/>
      <c r="AU441" s="75"/>
      <c r="AV441" s="84"/>
      <c r="AW441" s="77"/>
      <c r="AX441" s="77"/>
      <c r="AY441" s="87"/>
      <c r="BB441" s="69"/>
      <c r="BC441" s="70"/>
      <c r="BD441" s="85"/>
      <c r="BE441" s="70">
        <v>522</v>
      </c>
      <c r="BF441" s="70">
        <v>52.2</v>
      </c>
      <c r="BG441" s="70"/>
      <c r="BH441" s="72"/>
      <c r="BI441" s="73"/>
      <c r="BJ441" s="94" t="s">
        <v>52</v>
      </c>
      <c r="BK441" s="95" t="s">
        <v>48</v>
      </c>
      <c r="BL441" s="95" t="s">
        <v>65</v>
      </c>
    </row>
    <row r="442" ht="15.75" spans="2:64">
      <c r="B442" s="69"/>
      <c r="C442" s="112"/>
      <c r="D442" s="71"/>
      <c r="E442" s="58"/>
      <c r="F442" s="70"/>
      <c r="G442" s="70"/>
      <c r="H442" s="72"/>
      <c r="I442" s="73"/>
      <c r="O442" s="69"/>
      <c r="P442" s="71">
        <v>632</v>
      </c>
      <c r="Q442" s="71"/>
      <c r="R442" s="70"/>
      <c r="S442" s="70"/>
      <c r="T442" s="70"/>
      <c r="U442" s="72"/>
      <c r="V442" s="73"/>
      <c r="W442" s="58"/>
      <c r="AB442" s="59"/>
      <c r="AC442" s="60"/>
      <c r="AD442" s="61"/>
      <c r="AE442" s="62"/>
      <c r="AF442" s="61"/>
      <c r="AG442" s="61"/>
      <c r="AH442" s="75"/>
      <c r="AI442" s="76"/>
      <c r="AO442" s="69"/>
      <c r="AP442" s="70"/>
      <c r="AQ442" s="85"/>
      <c r="AR442" s="70"/>
      <c r="AS442" s="70"/>
      <c r="AT442" s="70"/>
      <c r="AU442" s="72"/>
      <c r="AV442" s="73"/>
      <c r="AW442" s="58"/>
      <c r="AX442" s="58"/>
      <c r="AY442" s="58"/>
      <c r="BB442" s="59"/>
      <c r="BC442" s="60"/>
      <c r="BD442" s="61"/>
      <c r="BE442" s="62">
        <v>647</v>
      </c>
      <c r="BF442" s="61">
        <v>64.7</v>
      </c>
      <c r="BG442" s="61"/>
      <c r="BH442" s="75"/>
      <c r="BI442" s="84"/>
      <c r="BJ442" s="77"/>
      <c r="BK442" s="77"/>
      <c r="BL442" s="87"/>
    </row>
    <row r="443" ht="15.75" spans="2:64">
      <c r="B443" s="102">
        <f t="shared" ref="B443:G443" si="77">SUM(B418:B442)</f>
        <v>320</v>
      </c>
      <c r="C443" s="103">
        <f t="shared" si="77"/>
        <v>1118</v>
      </c>
      <c r="D443" s="104">
        <f t="shared" si="77"/>
        <v>187</v>
      </c>
      <c r="E443" s="105">
        <f t="shared" si="77"/>
        <v>2937</v>
      </c>
      <c r="F443" s="106">
        <f t="shared" si="77"/>
        <v>241.05</v>
      </c>
      <c r="G443" s="107">
        <f t="shared" si="77"/>
        <v>80</v>
      </c>
      <c r="H443" s="108" t="s">
        <v>54</v>
      </c>
      <c r="I443" s="109"/>
      <c r="O443" s="59"/>
      <c r="P443" s="61">
        <v>404</v>
      </c>
      <c r="Q443" s="61">
        <v>46</v>
      </c>
      <c r="R443" s="62"/>
      <c r="S443" s="61"/>
      <c r="T443" s="61"/>
      <c r="U443" s="75"/>
      <c r="V443" s="76"/>
      <c r="W443" s="58"/>
      <c r="AB443" s="96"/>
      <c r="AC443" s="97"/>
      <c r="AD443" s="98"/>
      <c r="AE443" s="99"/>
      <c r="AF443" s="98"/>
      <c r="AG443" s="98"/>
      <c r="AH443" s="100"/>
      <c r="AI443" s="101"/>
      <c r="AO443" s="59"/>
      <c r="AP443" s="60"/>
      <c r="AQ443" s="61"/>
      <c r="AR443" s="62"/>
      <c r="AS443" s="61"/>
      <c r="AT443" s="61"/>
      <c r="AU443" s="75"/>
      <c r="AV443" s="84"/>
      <c r="AW443" s="58"/>
      <c r="AX443" s="58"/>
      <c r="AY443" s="58"/>
      <c r="BB443" s="69"/>
      <c r="BC443" s="70"/>
      <c r="BD443" s="85"/>
      <c r="BE443" s="70"/>
      <c r="BF443" s="70"/>
      <c r="BG443" s="70"/>
      <c r="BH443" s="72"/>
      <c r="BI443" s="73"/>
      <c r="BJ443" s="58"/>
      <c r="BK443" s="58"/>
      <c r="BL443" s="58"/>
    </row>
    <row r="444" ht="15.75" spans="2:64">
      <c r="O444" s="69"/>
      <c r="P444" s="71"/>
      <c r="Q444" s="71"/>
      <c r="R444" s="70"/>
      <c r="S444" s="70"/>
      <c r="T444" s="70"/>
      <c r="U444" s="72"/>
      <c r="V444" s="73"/>
      <c r="W444" s="58"/>
      <c r="AB444" s="102">
        <f t="shared" ref="AB444:AG444" si="78">SUM(AB422:AB443)</f>
        <v>1255</v>
      </c>
      <c r="AC444" s="103">
        <f t="shared" si="78"/>
        <v>4550</v>
      </c>
      <c r="AD444" s="104">
        <f t="shared" si="78"/>
        <v>523</v>
      </c>
      <c r="AE444" s="105">
        <f t="shared" si="78"/>
        <v>1279</v>
      </c>
      <c r="AF444" s="106">
        <f t="shared" si="78"/>
        <v>114.2</v>
      </c>
      <c r="AG444" s="107">
        <f t="shared" si="78"/>
        <v>2651</v>
      </c>
      <c r="AH444" s="108" t="s">
        <v>54</v>
      </c>
      <c r="AI444" s="109"/>
      <c r="AO444" s="69"/>
      <c r="AP444" s="70"/>
      <c r="AQ444" s="85"/>
      <c r="AR444" s="70"/>
      <c r="AS444" s="70"/>
      <c r="AT444" s="70"/>
      <c r="AU444" s="72"/>
      <c r="AV444" s="73"/>
      <c r="AW444" s="58"/>
      <c r="AX444" s="58"/>
      <c r="AY444" s="58"/>
      <c r="BB444" s="59"/>
      <c r="BC444" s="60"/>
      <c r="BD444" s="61"/>
      <c r="BE444" s="62"/>
      <c r="BF444" s="61"/>
      <c r="BG444" s="61"/>
      <c r="BH444" s="75"/>
      <c r="BI444" s="76"/>
    </row>
    <row r="445" ht="15.75" spans="2:64">
      <c r="O445" s="59"/>
      <c r="P445" s="61">
        <v>97</v>
      </c>
      <c r="Q445" s="61"/>
      <c r="R445" s="62"/>
      <c r="S445" s="61"/>
      <c r="T445" s="61"/>
      <c r="U445" s="75"/>
      <c r="V445" s="76"/>
      <c r="W445" s="58"/>
      <c r="AO445" s="96"/>
      <c r="AP445" s="97"/>
      <c r="AQ445" s="98"/>
      <c r="AR445" s="99"/>
      <c r="AS445" s="98"/>
      <c r="AT445" s="98"/>
      <c r="AU445" s="72"/>
      <c r="AV445" s="73"/>
      <c r="BB445" s="96"/>
      <c r="BC445" s="97"/>
      <c r="BD445" s="98"/>
      <c r="BE445" s="99"/>
      <c r="BF445" s="98"/>
      <c r="BG445" s="98"/>
      <c r="BH445" s="72"/>
      <c r="BI445" s="73"/>
    </row>
    <row r="446" ht="15.75" customHeight="1" spans="2:64">
      <c r="B446" s="33" t="s">
        <v>257</v>
      </c>
      <c r="C446" s="34"/>
      <c r="D446" s="34"/>
      <c r="E446" s="34"/>
      <c r="F446" s="34"/>
      <c r="G446" s="34"/>
      <c r="H446" s="34"/>
      <c r="I446" s="34"/>
      <c r="J446" s="34"/>
      <c r="K446" s="34"/>
      <c r="L446" s="35"/>
      <c r="O446" s="69"/>
      <c r="P446" s="71"/>
      <c r="Q446" s="71"/>
      <c r="R446" s="70">
        <v>484</v>
      </c>
      <c r="S446" s="70"/>
      <c r="T446" s="70"/>
      <c r="U446" s="72"/>
      <c r="V446" s="73"/>
      <c r="W446" s="58"/>
      <c r="AO446" s="59"/>
      <c r="AP446" s="60"/>
      <c r="AQ446" s="61"/>
      <c r="AR446" s="62"/>
      <c r="AS446" s="61"/>
      <c r="AT446" s="61"/>
      <c r="AU446" s="75"/>
      <c r="AV446" s="76"/>
      <c r="BB446" s="59"/>
      <c r="BC446" s="60"/>
      <c r="BD446" s="61"/>
      <c r="BE446" s="62"/>
      <c r="BF446" s="61"/>
      <c r="BG446" s="61"/>
      <c r="BH446" s="75"/>
      <c r="BI446" s="76"/>
    </row>
    <row r="447" ht="15.75" customHeight="1" spans="2:64">
      <c r="B447" s="36"/>
      <c r="C447" s="37"/>
      <c r="D447" s="37"/>
      <c r="E447" s="37"/>
      <c r="F447" s="37"/>
      <c r="G447" s="37"/>
      <c r="H447" s="37"/>
      <c r="I447" s="37"/>
      <c r="J447" s="37"/>
      <c r="K447" s="37"/>
      <c r="L447" s="38"/>
      <c r="O447" s="59"/>
      <c r="P447" s="61">
        <v>873</v>
      </c>
      <c r="Q447" s="61">
        <v>87</v>
      </c>
      <c r="R447" s="62"/>
      <c r="S447" s="61"/>
      <c r="T447" s="61"/>
      <c r="U447" s="75"/>
      <c r="V447" s="76"/>
      <c r="W447" s="58"/>
      <c r="AB447" s="33" t="s">
        <v>258</v>
      </c>
      <c r="AC447" s="34"/>
      <c r="AD447" s="34"/>
      <c r="AE447" s="34"/>
      <c r="AF447" s="34"/>
      <c r="AG447" s="34"/>
      <c r="AH447" s="34"/>
      <c r="AI447" s="34"/>
      <c r="AJ447" s="34"/>
      <c r="AK447" s="34"/>
      <c r="AL447" s="35"/>
      <c r="AO447" s="96"/>
      <c r="AP447" s="97"/>
      <c r="AQ447" s="98"/>
      <c r="AR447" s="99"/>
      <c r="AS447" s="98"/>
      <c r="AT447" s="98"/>
      <c r="AU447" s="72"/>
      <c r="AV447" s="73"/>
      <c r="BB447" s="96"/>
      <c r="BC447" s="97"/>
      <c r="BD447" s="98"/>
      <c r="BE447" s="99"/>
      <c r="BF447" s="98"/>
      <c r="BG447" s="98"/>
      <c r="BH447" s="72"/>
      <c r="BI447" s="73"/>
    </row>
    <row r="448" ht="15.75" customHeight="1" spans="2:64">
      <c r="B448" s="39" t="s">
        <v>12</v>
      </c>
      <c r="C448" s="40" t="s">
        <v>13</v>
      </c>
      <c r="D448" s="41"/>
      <c r="E448" s="42" t="s">
        <v>14</v>
      </c>
      <c r="F448" s="43"/>
      <c r="G448" s="44" t="s">
        <v>15</v>
      </c>
      <c r="H448" s="45"/>
      <c r="I448" s="46"/>
      <c r="J448" s="47" t="s">
        <v>16</v>
      </c>
      <c r="K448" s="48"/>
      <c r="L448" s="49">
        <f>C475+E475</f>
        <v>4429</v>
      </c>
      <c r="O448" s="69"/>
      <c r="P448" s="112">
        <v>744</v>
      </c>
      <c r="Q448" s="71">
        <v>76</v>
      </c>
      <c r="R448" s="58"/>
      <c r="S448" s="70"/>
      <c r="T448" s="70"/>
      <c r="U448" s="72"/>
      <c r="V448" s="73"/>
      <c r="AB448" s="36"/>
      <c r="AC448" s="37"/>
      <c r="AD448" s="37"/>
      <c r="AE448" s="37"/>
      <c r="AF448" s="37"/>
      <c r="AG448" s="37"/>
      <c r="AH448" s="37"/>
      <c r="AI448" s="37"/>
      <c r="AJ448" s="37"/>
      <c r="AK448" s="37"/>
      <c r="AL448" s="38"/>
      <c r="AO448" s="102">
        <f t="shared" ref="AO448:AT448" si="79">SUM(AO429:AO447)</f>
        <v>666</v>
      </c>
      <c r="AP448" s="103">
        <f t="shared" si="79"/>
        <v>690</v>
      </c>
      <c r="AQ448" s="104">
        <f t="shared" si="79"/>
        <v>0</v>
      </c>
      <c r="AR448" s="105">
        <f t="shared" si="79"/>
        <v>1171</v>
      </c>
      <c r="AS448" s="106">
        <f t="shared" si="79"/>
        <v>129.1</v>
      </c>
      <c r="AT448" s="107">
        <f t="shared" si="79"/>
        <v>56</v>
      </c>
      <c r="AU448" s="108" t="s">
        <v>54</v>
      </c>
      <c r="AV448" s="109"/>
      <c r="BB448" s="59"/>
      <c r="BC448" s="60"/>
      <c r="BD448" s="61"/>
      <c r="BE448" s="62"/>
      <c r="BF448" s="61"/>
      <c r="BG448" s="61"/>
      <c r="BH448" s="75"/>
      <c r="BI448" s="76"/>
    </row>
    <row r="449" ht="15.75" customHeight="1" spans="2:64">
      <c r="B449" s="50"/>
      <c r="C449" s="51" t="s">
        <v>17</v>
      </c>
      <c r="D449" s="51" t="s">
        <v>18</v>
      </c>
      <c r="E449" s="52" t="s">
        <v>17</v>
      </c>
      <c r="F449" s="52" t="s">
        <v>18</v>
      </c>
      <c r="G449" s="53"/>
      <c r="H449" s="54"/>
      <c r="I449" s="55"/>
      <c r="J449" s="56" t="s">
        <v>19</v>
      </c>
      <c r="K449" s="57"/>
      <c r="L449" s="49">
        <f>D475+F475</f>
        <v>436.1</v>
      </c>
      <c r="O449" s="59"/>
      <c r="P449" s="60">
        <v>123</v>
      </c>
      <c r="Q449" s="61"/>
      <c r="R449" s="62"/>
      <c r="S449" s="61"/>
      <c r="T449" s="61"/>
      <c r="U449" s="75"/>
      <c r="V449" s="76"/>
      <c r="AB449" s="39" t="s">
        <v>12</v>
      </c>
      <c r="AC449" s="40" t="s">
        <v>13</v>
      </c>
      <c r="AD449" s="41"/>
      <c r="AE449" s="42" t="s">
        <v>14</v>
      </c>
      <c r="AF449" s="43"/>
      <c r="AG449" s="44" t="s">
        <v>15</v>
      </c>
      <c r="AH449" s="45"/>
      <c r="AI449" s="46"/>
      <c r="AJ449" s="47" t="s">
        <v>16</v>
      </c>
      <c r="AK449" s="48"/>
      <c r="AL449" s="49">
        <f>AC469+AE469</f>
        <v>2959</v>
      </c>
      <c r="BB449" s="96"/>
      <c r="BC449" s="97"/>
      <c r="BD449" s="98"/>
      <c r="BE449" s="99"/>
      <c r="BF449" s="98"/>
      <c r="BG449" s="98"/>
      <c r="BH449" s="72"/>
      <c r="BI449" s="73"/>
    </row>
    <row r="450" ht="15.75" spans="2:64">
      <c r="B450" s="59">
        <v>1545</v>
      </c>
      <c r="C450" s="60">
        <v>92</v>
      </c>
      <c r="D450" s="61">
        <v>50</v>
      </c>
      <c r="E450" s="62"/>
      <c r="F450" s="61"/>
      <c r="G450" s="61">
        <v>1000</v>
      </c>
      <c r="H450" s="63" t="s">
        <v>66</v>
      </c>
      <c r="I450" s="64"/>
      <c r="J450" s="65" t="s">
        <v>21</v>
      </c>
      <c r="K450" s="66"/>
      <c r="L450" s="67">
        <f>G475</f>
        <v>1094.8</v>
      </c>
      <c r="O450" s="96"/>
      <c r="P450" s="97"/>
      <c r="Q450" s="98"/>
      <c r="R450" s="99">
        <v>488</v>
      </c>
      <c r="S450" s="98"/>
      <c r="T450" s="98"/>
      <c r="U450" s="72"/>
      <c r="V450" s="73"/>
      <c r="AB450" s="50"/>
      <c r="AC450" s="51" t="s">
        <v>17</v>
      </c>
      <c r="AD450" s="51" t="s">
        <v>18</v>
      </c>
      <c r="AE450" s="52" t="s">
        <v>17</v>
      </c>
      <c r="AF450" s="52" t="s">
        <v>18</v>
      </c>
      <c r="AG450" s="53"/>
      <c r="AH450" s="54"/>
      <c r="AI450" s="55"/>
      <c r="AJ450" s="56" t="s">
        <v>19</v>
      </c>
      <c r="AK450" s="57"/>
      <c r="AL450" s="49">
        <f>AD469+AF469</f>
        <v>191</v>
      </c>
      <c r="BB450" s="102">
        <f t="shared" ref="BB450:BG450" si="80">SUM(BB430:BB449)</f>
        <v>3538</v>
      </c>
      <c r="BC450" s="103">
        <f t="shared" si="80"/>
        <v>2007</v>
      </c>
      <c r="BD450" s="104">
        <f t="shared" si="80"/>
        <v>82</v>
      </c>
      <c r="BE450" s="105">
        <f t="shared" si="80"/>
        <v>3206</v>
      </c>
      <c r="BF450" s="106">
        <f t="shared" si="80"/>
        <v>320.6</v>
      </c>
      <c r="BG450" s="107">
        <f t="shared" si="80"/>
        <v>4400</v>
      </c>
      <c r="BH450" s="108" t="s">
        <v>54</v>
      </c>
      <c r="BI450" s="109"/>
    </row>
    <row r="451" ht="15.75" spans="2:64">
      <c r="B451" s="69"/>
      <c r="C451" s="70">
        <v>242</v>
      </c>
      <c r="D451" s="71">
        <v>50</v>
      </c>
      <c r="E451" s="70"/>
      <c r="F451" s="70"/>
      <c r="G451" s="70">
        <v>25</v>
      </c>
      <c r="H451" s="72" t="s">
        <v>29</v>
      </c>
      <c r="I451" s="73"/>
      <c r="J451" s="74" t="s">
        <v>26</v>
      </c>
      <c r="K451" s="57"/>
      <c r="L451" s="49">
        <f>B475+L448+L449-L450-E475-F475</f>
        <v>2760.2</v>
      </c>
      <c r="O451" s="59"/>
      <c r="P451" s="60"/>
      <c r="Q451" s="61"/>
      <c r="R451" s="62">
        <v>406</v>
      </c>
      <c r="S451" s="61">
        <v>20.3</v>
      </c>
      <c r="T451" s="61"/>
      <c r="U451" s="75"/>
      <c r="V451" s="76"/>
      <c r="AB451" s="59">
        <v>575</v>
      </c>
      <c r="AC451" s="60">
        <v>175</v>
      </c>
      <c r="AD451" s="61"/>
      <c r="AE451" s="62"/>
      <c r="AF451" s="61"/>
      <c r="AG451" s="61">
        <v>30</v>
      </c>
      <c r="AH451" s="63" t="s">
        <v>29</v>
      </c>
      <c r="AI451" s="64"/>
      <c r="AJ451" s="65" t="s">
        <v>21</v>
      </c>
      <c r="AK451" s="66"/>
      <c r="AL451" s="67">
        <f>AG469</f>
        <v>343</v>
      </c>
      <c r="AO451" s="33" t="s">
        <v>259</v>
      </c>
      <c r="AP451" s="34"/>
      <c r="AQ451" s="34"/>
      <c r="AR451" s="34"/>
      <c r="AS451" s="34"/>
      <c r="AT451" s="34"/>
      <c r="AU451" s="34"/>
      <c r="AV451" s="34"/>
      <c r="AW451" s="34"/>
      <c r="AX451" s="34"/>
      <c r="AY451" s="35"/>
    </row>
    <row r="452" ht="15.75" spans="2:64">
      <c r="B452" s="59"/>
      <c r="C452" s="60">
        <v>142</v>
      </c>
      <c r="D452" s="61">
        <v>20</v>
      </c>
      <c r="E452" s="62"/>
      <c r="F452" s="61"/>
      <c r="G452" s="61">
        <v>21</v>
      </c>
      <c r="H452" s="75" t="s">
        <v>260</v>
      </c>
      <c r="I452" s="76"/>
      <c r="J452" s="77"/>
      <c r="K452" s="78" t="s">
        <v>30</v>
      </c>
      <c r="L452" s="79">
        <f>L449/4</f>
        <v>109.025</v>
      </c>
      <c r="O452" s="96"/>
      <c r="P452" s="97"/>
      <c r="Q452" s="98"/>
      <c r="R452" s="99">
        <v>568</v>
      </c>
      <c r="S452" s="98">
        <v>56.8</v>
      </c>
      <c r="T452" s="98"/>
      <c r="U452" s="114"/>
      <c r="V452" s="115"/>
      <c r="AB452" s="69"/>
      <c r="AC452" s="70">
        <v>60</v>
      </c>
      <c r="AD452" s="71">
        <v>10</v>
      </c>
      <c r="AE452" s="70"/>
      <c r="AF452" s="70"/>
      <c r="AG452" s="70">
        <v>13</v>
      </c>
      <c r="AH452" s="72" t="s">
        <v>261</v>
      </c>
      <c r="AI452" s="73"/>
      <c r="AJ452" s="74" t="s">
        <v>26</v>
      </c>
      <c r="AK452" s="57"/>
      <c r="AL452" s="49">
        <f>AB469+AL449+AL450-AL451-AE469-AF469</f>
        <v>2415</v>
      </c>
      <c r="AO452" s="36"/>
      <c r="AP452" s="37"/>
      <c r="AQ452" s="37"/>
      <c r="AR452" s="37"/>
      <c r="AS452" s="37"/>
      <c r="AT452" s="37"/>
      <c r="AU452" s="37"/>
      <c r="AV452" s="37"/>
      <c r="AW452" s="37"/>
      <c r="AX452" s="37"/>
      <c r="AY452" s="38"/>
    </row>
    <row r="453" ht="15.75" spans="2:64">
      <c r="B453" s="69"/>
      <c r="C453" s="70"/>
      <c r="D453" s="71"/>
      <c r="E453" s="70">
        <v>336</v>
      </c>
      <c r="F453" s="70">
        <v>33.6</v>
      </c>
      <c r="G453" s="70">
        <v>48.8</v>
      </c>
      <c r="H453" s="72" t="s">
        <v>78</v>
      </c>
      <c r="I453" s="73"/>
      <c r="J453" s="77"/>
      <c r="K453" s="80" t="s">
        <v>34</v>
      </c>
      <c r="L453" s="81">
        <f>L449/6</f>
        <v>72.6833333333333</v>
      </c>
      <c r="O453" s="59"/>
      <c r="P453" s="60">
        <v>108</v>
      </c>
      <c r="Q453" s="61">
        <v>17</v>
      </c>
      <c r="R453" s="62"/>
      <c r="S453" s="61"/>
      <c r="T453" s="61"/>
      <c r="U453" s="75"/>
      <c r="V453" s="76"/>
      <c r="AB453" s="59"/>
      <c r="AC453" s="60">
        <v>108</v>
      </c>
      <c r="AD453" s="61">
        <v>12</v>
      </c>
      <c r="AE453" s="62"/>
      <c r="AF453" s="61"/>
      <c r="AG453" s="61">
        <v>300</v>
      </c>
      <c r="AH453" s="75" t="s">
        <v>43</v>
      </c>
      <c r="AI453" s="76"/>
      <c r="AJ453" s="77"/>
      <c r="AK453" s="78" t="s">
        <v>30</v>
      </c>
      <c r="AL453" s="79">
        <f>AL450/4</f>
        <v>47.75</v>
      </c>
      <c r="AO453" s="39" t="s">
        <v>12</v>
      </c>
      <c r="AP453" s="40" t="s">
        <v>13</v>
      </c>
      <c r="AQ453" s="41"/>
      <c r="AR453" s="42" t="s">
        <v>14</v>
      </c>
      <c r="AS453" s="43"/>
      <c r="AT453" s="44" t="s">
        <v>15</v>
      </c>
      <c r="AU453" s="45"/>
      <c r="AV453" s="46"/>
      <c r="AW453" s="47" t="s">
        <v>16</v>
      </c>
      <c r="AX453" s="48"/>
      <c r="AY453" s="49">
        <f>AP474+AR474</f>
        <v>2563</v>
      </c>
      <c r="BB453" s="33" t="s">
        <v>262</v>
      </c>
      <c r="BC453" s="34"/>
      <c r="BD453" s="34"/>
      <c r="BE453" s="34"/>
      <c r="BF453" s="34"/>
      <c r="BG453" s="34"/>
      <c r="BH453" s="34"/>
      <c r="BI453" s="34"/>
      <c r="BJ453" s="34"/>
      <c r="BK453" s="34"/>
      <c r="BL453" s="35"/>
    </row>
    <row r="454" ht="15.75" spans="2:64">
      <c r="B454" s="59"/>
      <c r="C454" s="60">
        <v>214</v>
      </c>
      <c r="D454" s="61"/>
      <c r="E454" s="62"/>
      <c r="F454" s="61"/>
      <c r="G454" s="61"/>
      <c r="H454" s="75"/>
      <c r="I454" s="76"/>
      <c r="J454" s="77"/>
      <c r="K454" s="82" t="s">
        <v>37</v>
      </c>
      <c r="L454" s="83">
        <f>L449/8</f>
        <v>54.5125</v>
      </c>
      <c r="O454" s="96"/>
      <c r="P454" s="97"/>
      <c r="Q454" s="98"/>
      <c r="R454" s="99">
        <v>759</v>
      </c>
      <c r="S454" s="98">
        <v>113.85</v>
      </c>
      <c r="T454" s="98"/>
      <c r="U454" s="100"/>
      <c r="V454" s="101"/>
      <c r="AB454" s="69"/>
      <c r="AC454" s="70"/>
      <c r="AD454" s="71"/>
      <c r="AE454" s="70">
        <v>230</v>
      </c>
      <c r="AF454" s="70">
        <v>23</v>
      </c>
      <c r="AG454" s="70"/>
      <c r="AH454" s="72"/>
      <c r="AI454" s="73"/>
      <c r="AJ454" s="77"/>
      <c r="AK454" s="80" t="s">
        <v>34</v>
      </c>
      <c r="AL454" s="81">
        <f>AL450/6</f>
        <v>31.8333333333333</v>
      </c>
      <c r="AO454" s="50"/>
      <c r="AP454" s="51" t="s">
        <v>17</v>
      </c>
      <c r="AQ454" s="51" t="s">
        <v>18</v>
      </c>
      <c r="AR454" s="52" t="s">
        <v>17</v>
      </c>
      <c r="AS454" s="52" t="s">
        <v>18</v>
      </c>
      <c r="AT454" s="53"/>
      <c r="AU454" s="54"/>
      <c r="AV454" s="55"/>
      <c r="AW454" s="56" t="s">
        <v>19</v>
      </c>
      <c r="AX454" s="57"/>
      <c r="AY454" s="49">
        <f>AQ474+AS474</f>
        <v>105.05</v>
      </c>
      <c r="BB454" s="36"/>
      <c r="BC454" s="37"/>
      <c r="BD454" s="37"/>
      <c r="BE454" s="37"/>
      <c r="BF454" s="37"/>
      <c r="BG454" s="37"/>
      <c r="BH454" s="37"/>
      <c r="BI454" s="37"/>
      <c r="BJ454" s="37"/>
      <c r="BK454" s="37"/>
      <c r="BL454" s="38"/>
    </row>
    <row r="455" ht="15.75" spans="2:64">
      <c r="B455" s="69"/>
      <c r="C455" s="70">
        <v>16</v>
      </c>
      <c r="D455" s="85"/>
      <c r="E455" s="70"/>
      <c r="F455" s="70"/>
      <c r="G455" s="70"/>
      <c r="H455" s="72"/>
      <c r="I455" s="73"/>
      <c r="J455" s="86"/>
      <c r="K455" s="77"/>
      <c r="L455" s="87"/>
      <c r="O455" s="102">
        <f t="shared" ref="O455:T455" si="81">SUM(O417:O454)</f>
        <v>780</v>
      </c>
      <c r="P455" s="103">
        <f t="shared" si="81"/>
        <v>7520</v>
      </c>
      <c r="Q455" s="104">
        <f t="shared" si="81"/>
        <v>655</v>
      </c>
      <c r="R455" s="105">
        <f t="shared" si="81"/>
        <v>8551</v>
      </c>
      <c r="S455" s="106">
        <f t="shared" si="81"/>
        <v>778.45</v>
      </c>
      <c r="T455" s="107">
        <f t="shared" si="81"/>
        <v>980</v>
      </c>
      <c r="U455" s="108" t="s">
        <v>54</v>
      </c>
      <c r="V455" s="109"/>
      <c r="AB455" s="59"/>
      <c r="AC455" s="60">
        <v>176</v>
      </c>
      <c r="AD455" s="61"/>
      <c r="AE455" s="62"/>
      <c r="AF455" s="61"/>
      <c r="AG455" s="61"/>
      <c r="AH455" s="75"/>
      <c r="AI455" s="76"/>
      <c r="AJ455" s="77"/>
      <c r="AK455" s="82" t="s">
        <v>37</v>
      </c>
      <c r="AL455" s="83">
        <f>AL450/8</f>
        <v>23.875</v>
      </c>
      <c r="AO455" s="59">
        <v>803</v>
      </c>
      <c r="AP455" s="68">
        <v>110</v>
      </c>
      <c r="AQ455" s="61"/>
      <c r="AR455" s="62"/>
      <c r="AS455" s="61"/>
      <c r="AT455" s="61">
        <v>280</v>
      </c>
      <c r="AU455" s="63" t="s">
        <v>59</v>
      </c>
      <c r="AV455" s="64"/>
      <c r="AW455" s="65" t="s">
        <v>21</v>
      </c>
      <c r="AX455" s="66"/>
      <c r="AY455" s="67">
        <f>AT474</f>
        <v>310</v>
      </c>
      <c r="BB455" s="39" t="s">
        <v>12</v>
      </c>
      <c r="BC455" s="40" t="s">
        <v>13</v>
      </c>
      <c r="BD455" s="41"/>
      <c r="BE455" s="42" t="s">
        <v>14</v>
      </c>
      <c r="BF455" s="43"/>
      <c r="BG455" s="44" t="s">
        <v>15</v>
      </c>
      <c r="BH455" s="45"/>
      <c r="BI455" s="46"/>
      <c r="BJ455" s="47" t="s">
        <v>16</v>
      </c>
      <c r="BK455" s="48"/>
      <c r="BL455" s="49">
        <f>BC477+BE477</f>
        <v>7545</v>
      </c>
    </row>
    <row r="456" ht="15.75" spans="2:64">
      <c r="B456" s="59"/>
      <c r="C456" s="60">
        <v>68</v>
      </c>
      <c r="D456" s="61"/>
      <c r="E456" s="62"/>
      <c r="F456" s="61"/>
      <c r="G456" s="61"/>
      <c r="H456" s="75"/>
      <c r="I456" s="76"/>
      <c r="J456" s="77"/>
      <c r="K456" s="58"/>
      <c r="L456" s="58"/>
      <c r="AB456" s="69"/>
      <c r="AC456" s="70">
        <v>531</v>
      </c>
      <c r="AD456" s="85">
        <v>69</v>
      </c>
      <c r="AE456" s="70"/>
      <c r="AF456" s="70"/>
      <c r="AG456" s="70"/>
      <c r="AH456" s="72"/>
      <c r="AI456" s="73"/>
      <c r="AJ456" s="86"/>
      <c r="AK456" s="77"/>
      <c r="AL456" s="87"/>
      <c r="AO456" s="69"/>
      <c r="AP456" s="70">
        <v>170</v>
      </c>
      <c r="AQ456" s="71"/>
      <c r="AR456" s="70"/>
      <c r="AS456" s="70"/>
      <c r="AT456" s="70">
        <v>30</v>
      </c>
      <c r="AU456" s="72" t="s">
        <v>29</v>
      </c>
      <c r="AV456" s="73"/>
      <c r="AW456" s="74" t="s">
        <v>26</v>
      </c>
      <c r="AX456" s="57"/>
      <c r="AY456" s="49">
        <f>AO474+AY453+AY454-AY455-AR474-AS474</f>
        <v>1472</v>
      </c>
      <c r="BB456" s="50"/>
      <c r="BC456" s="51" t="s">
        <v>17</v>
      </c>
      <c r="BD456" s="51" t="s">
        <v>18</v>
      </c>
      <c r="BE456" s="52" t="s">
        <v>17</v>
      </c>
      <c r="BF456" s="52" t="s">
        <v>18</v>
      </c>
      <c r="BG456" s="53"/>
      <c r="BH456" s="54"/>
      <c r="BI456" s="55"/>
      <c r="BJ456" s="56" t="s">
        <v>19</v>
      </c>
      <c r="BK456" s="57"/>
      <c r="BL456" s="49">
        <f>BD477+BF477</f>
        <v>650.15</v>
      </c>
    </row>
    <row r="457" ht="15.75" spans="2:64">
      <c r="B457" s="69"/>
      <c r="C457" s="70"/>
      <c r="D457" s="71"/>
      <c r="E457" s="70">
        <v>371</v>
      </c>
      <c r="F457" s="70">
        <v>37.1</v>
      </c>
      <c r="G457" s="70"/>
      <c r="H457" s="72"/>
      <c r="I457" s="73"/>
      <c r="J457" s="77"/>
      <c r="K457" s="58"/>
      <c r="L457" s="58"/>
      <c r="AB457" s="59"/>
      <c r="AC457" s="60">
        <v>340</v>
      </c>
      <c r="AD457" s="61">
        <v>22</v>
      </c>
      <c r="AE457" s="62"/>
      <c r="AF457" s="61"/>
      <c r="AG457" s="61"/>
      <c r="AH457" s="75"/>
      <c r="AI457" s="76"/>
      <c r="AJ457" s="77"/>
      <c r="AK457" s="58"/>
      <c r="AL457" s="58"/>
      <c r="AO457" s="59"/>
      <c r="AP457" s="60">
        <v>284</v>
      </c>
      <c r="AQ457" s="61"/>
      <c r="AR457" s="62"/>
      <c r="AS457" s="61"/>
      <c r="AT457" s="61"/>
      <c r="AU457" s="75"/>
      <c r="AV457" s="76"/>
      <c r="AW457" s="77"/>
      <c r="AX457" s="78" t="s">
        <v>30</v>
      </c>
      <c r="AY457" s="79">
        <f>AY454/4</f>
        <v>26.2625</v>
      </c>
      <c r="BB457" s="59">
        <v>1227</v>
      </c>
      <c r="BC457" s="68"/>
      <c r="BD457" s="61"/>
      <c r="BE457" s="62">
        <v>175</v>
      </c>
      <c r="BF457" s="61"/>
      <c r="BG457" s="61">
        <v>1000</v>
      </c>
      <c r="BH457" s="63" t="s">
        <v>48</v>
      </c>
      <c r="BI457" s="64"/>
      <c r="BJ457" s="65" t="s">
        <v>21</v>
      </c>
      <c r="BK457" s="66"/>
      <c r="BL457" s="67">
        <f>BG477</f>
        <v>1095</v>
      </c>
    </row>
    <row r="458" ht="19" customHeight="1" spans="2:64">
      <c r="B458" s="59"/>
      <c r="C458" s="60"/>
      <c r="D458" s="88"/>
      <c r="E458" s="62">
        <v>428</v>
      </c>
      <c r="F458" s="61"/>
      <c r="G458" s="61"/>
      <c r="H458" s="75"/>
      <c r="I458" s="76"/>
      <c r="J458" s="77"/>
      <c r="K458" s="58"/>
      <c r="L458" s="58"/>
      <c r="O458" s="33" t="s">
        <v>263</v>
      </c>
      <c r="P458" s="34"/>
      <c r="Q458" s="34"/>
      <c r="R458" s="34"/>
      <c r="S458" s="34"/>
      <c r="T458" s="34"/>
      <c r="U458" s="34"/>
      <c r="V458" s="34"/>
      <c r="W458" s="34"/>
      <c r="X458" s="34"/>
      <c r="Y458" s="35"/>
      <c r="AB458" s="69"/>
      <c r="AC458" s="70">
        <v>420</v>
      </c>
      <c r="AD458" s="71"/>
      <c r="AE458" s="70"/>
      <c r="AF458" s="70"/>
      <c r="AG458" s="70"/>
      <c r="AH458" s="72"/>
      <c r="AI458" s="73"/>
      <c r="AJ458" s="77"/>
      <c r="AK458" s="58"/>
      <c r="AL458" s="58"/>
      <c r="AO458" s="69"/>
      <c r="AP458" s="70">
        <v>230</v>
      </c>
      <c r="AQ458" s="71">
        <v>20</v>
      </c>
      <c r="AR458" s="70"/>
      <c r="AS458" s="70"/>
      <c r="AT458" s="70"/>
      <c r="AU458" s="72"/>
      <c r="AV458" s="73"/>
      <c r="AW458" s="77"/>
      <c r="AX458" s="80" t="s">
        <v>34</v>
      </c>
      <c r="AY458" s="81">
        <f>AY454/6</f>
        <v>17.5083333333333</v>
      </c>
      <c r="BB458" s="69">
        <v>284</v>
      </c>
      <c r="BC458" s="70">
        <v>494</v>
      </c>
      <c r="BD458" s="71">
        <v>50</v>
      </c>
      <c r="BE458" s="70"/>
      <c r="BF458" s="70"/>
      <c r="BG458" s="70">
        <v>95</v>
      </c>
      <c r="BH458" s="72" t="s">
        <v>264</v>
      </c>
      <c r="BI458" s="73"/>
      <c r="BJ458" s="74" t="s">
        <v>26</v>
      </c>
      <c r="BK458" s="57"/>
      <c r="BL458" s="49">
        <f>BB477+BL455+BL456-BL457-BE477-BF477</f>
        <v>2773</v>
      </c>
    </row>
    <row r="459" ht="15.75" spans="2:64">
      <c r="B459" s="69"/>
      <c r="C459" s="70"/>
      <c r="D459" s="71"/>
      <c r="E459" s="70">
        <v>393</v>
      </c>
      <c r="F459" s="70">
        <v>39.3</v>
      </c>
      <c r="G459" s="70"/>
      <c r="H459" s="72"/>
      <c r="I459" s="73"/>
      <c r="J459" s="89" t="s">
        <v>44</v>
      </c>
      <c r="K459" s="90" t="s">
        <v>45</v>
      </c>
      <c r="L459" s="90" t="s">
        <v>46</v>
      </c>
      <c r="O459" s="36"/>
      <c r="P459" s="37"/>
      <c r="Q459" s="37"/>
      <c r="R459" s="37"/>
      <c r="S459" s="37"/>
      <c r="T459" s="37"/>
      <c r="U459" s="37"/>
      <c r="V459" s="37"/>
      <c r="W459" s="37"/>
      <c r="X459" s="37"/>
      <c r="Y459" s="38"/>
      <c r="AB459" s="59"/>
      <c r="AC459" s="60">
        <v>235</v>
      </c>
      <c r="AD459" s="88">
        <v>25</v>
      </c>
      <c r="AE459" s="62"/>
      <c r="AF459" s="61"/>
      <c r="AG459" s="61"/>
      <c r="AH459" s="75"/>
      <c r="AI459" s="76"/>
      <c r="AJ459" s="77"/>
      <c r="AK459" s="58"/>
      <c r="AL459" s="58"/>
      <c r="AO459" s="59"/>
      <c r="AP459" s="60">
        <v>152</v>
      </c>
      <c r="AQ459" s="61">
        <v>13</v>
      </c>
      <c r="AR459" s="62"/>
      <c r="AS459" s="61"/>
      <c r="AT459" s="61"/>
      <c r="AU459" s="75"/>
      <c r="AV459" s="84"/>
      <c r="AW459" s="77"/>
      <c r="AX459" s="82" t="s">
        <v>37</v>
      </c>
      <c r="AY459" s="83">
        <f>AY454/8</f>
        <v>13.13125</v>
      </c>
      <c r="BB459" s="59"/>
      <c r="BC459" s="60"/>
      <c r="BD459" s="61"/>
      <c r="BE459" s="62">
        <v>410</v>
      </c>
      <c r="BF459" s="61">
        <v>82</v>
      </c>
      <c r="BG459" s="61"/>
      <c r="BH459" s="75"/>
      <c r="BI459" s="76"/>
      <c r="BJ459" s="77"/>
      <c r="BK459" s="78" t="s">
        <v>30</v>
      </c>
      <c r="BL459" s="79">
        <f>BL456/4</f>
        <v>162.5375</v>
      </c>
    </row>
    <row r="460" ht="23" customHeight="1" spans="2:64">
      <c r="B460" s="59"/>
      <c r="C460" s="60"/>
      <c r="D460" s="61"/>
      <c r="E460" s="62">
        <v>369</v>
      </c>
      <c r="F460" s="61">
        <v>36.9</v>
      </c>
      <c r="G460" s="61"/>
      <c r="H460" s="75"/>
      <c r="I460" s="76"/>
      <c r="J460" s="92" t="s">
        <v>47</v>
      </c>
      <c r="K460" s="93" t="s">
        <v>77</v>
      </c>
      <c r="L460" s="93" t="s">
        <v>43</v>
      </c>
      <c r="O460" s="39" t="s">
        <v>12</v>
      </c>
      <c r="P460" s="40" t="s">
        <v>13</v>
      </c>
      <c r="Q460" s="41"/>
      <c r="R460" s="42" t="s">
        <v>14</v>
      </c>
      <c r="S460" s="43"/>
      <c r="T460" s="44" t="s">
        <v>15</v>
      </c>
      <c r="U460" s="45"/>
      <c r="V460" s="46"/>
      <c r="W460" s="47" t="s">
        <v>16</v>
      </c>
      <c r="X460" s="48"/>
      <c r="Y460" s="49">
        <f>P490+R490</f>
        <v>10552</v>
      </c>
      <c r="AB460" s="69"/>
      <c r="AC460" s="70"/>
      <c r="AD460" s="71"/>
      <c r="AE460" s="70">
        <v>684</v>
      </c>
      <c r="AF460" s="70">
        <v>30</v>
      </c>
      <c r="AG460" s="70"/>
      <c r="AH460" s="72"/>
      <c r="AI460" s="73"/>
      <c r="AJ460" s="89" t="s">
        <v>44</v>
      </c>
      <c r="AK460" s="90" t="s">
        <v>45</v>
      </c>
      <c r="AL460" s="90" t="s">
        <v>46</v>
      </c>
      <c r="AO460" s="69"/>
      <c r="AP460" s="70"/>
      <c r="AQ460" s="85"/>
      <c r="AR460" s="70">
        <v>604</v>
      </c>
      <c r="AS460" s="70"/>
      <c r="AT460" s="70"/>
      <c r="AU460" s="72"/>
      <c r="AV460" s="73"/>
      <c r="AW460" s="86"/>
      <c r="AX460" s="77"/>
      <c r="AY460" s="87"/>
      <c r="BB460" s="69"/>
      <c r="BC460" s="70"/>
      <c r="BD460" s="71"/>
      <c r="BE460" s="70">
        <v>476</v>
      </c>
      <c r="BF460" s="70"/>
      <c r="BG460" s="70"/>
      <c r="BH460" s="72"/>
      <c r="BI460" s="73"/>
      <c r="BJ460" s="77"/>
      <c r="BK460" s="80" t="s">
        <v>34</v>
      </c>
      <c r="BL460" s="81">
        <f>BL456/6</f>
        <v>108.358333333333</v>
      </c>
    </row>
    <row r="461" ht="15.75" spans="2:64">
      <c r="B461" s="69"/>
      <c r="C461" s="70"/>
      <c r="D461" s="71"/>
      <c r="E461" s="70">
        <v>152</v>
      </c>
      <c r="F461" s="70">
        <v>15.2</v>
      </c>
      <c r="G461" s="70"/>
      <c r="H461" s="72"/>
      <c r="I461" s="73"/>
      <c r="J461" s="94" t="s">
        <v>52</v>
      </c>
      <c r="K461" s="95" t="s">
        <v>48</v>
      </c>
      <c r="L461" s="95" t="s">
        <v>65</v>
      </c>
      <c r="O461" s="50"/>
      <c r="P461" s="51" t="s">
        <v>17</v>
      </c>
      <c r="Q461" s="51" t="s">
        <v>18</v>
      </c>
      <c r="R461" s="52" t="s">
        <v>17</v>
      </c>
      <c r="S461" s="52" t="s">
        <v>18</v>
      </c>
      <c r="T461" s="53"/>
      <c r="U461" s="54"/>
      <c r="V461" s="55"/>
      <c r="W461" s="56" t="s">
        <v>19</v>
      </c>
      <c r="X461" s="57"/>
      <c r="Y461" s="49">
        <f>Q490+S490</f>
        <v>916.45</v>
      </c>
      <c r="AB461" s="59"/>
      <c r="AC461" s="60"/>
      <c r="AD461" s="61"/>
      <c r="AE461" s="62"/>
      <c r="AF461" s="61"/>
      <c r="AG461" s="61"/>
      <c r="AH461" s="75"/>
      <c r="AI461" s="76"/>
      <c r="AJ461" s="92" t="s">
        <v>47</v>
      </c>
      <c r="AK461" s="93" t="s">
        <v>48</v>
      </c>
      <c r="AL461" s="93" t="s">
        <v>65</v>
      </c>
      <c r="AO461" s="59"/>
      <c r="AP461" s="60"/>
      <c r="AQ461" s="61"/>
      <c r="AR461" s="62">
        <v>585</v>
      </c>
      <c r="AS461" s="61">
        <v>29.25</v>
      </c>
      <c r="AT461" s="61"/>
      <c r="AU461" s="75"/>
      <c r="AV461" s="84"/>
      <c r="AW461" s="77"/>
      <c r="AX461" s="58"/>
      <c r="AY461" s="58"/>
      <c r="BB461" s="59"/>
      <c r="BC461" s="60"/>
      <c r="BD461" s="61"/>
      <c r="BE461" s="62">
        <v>493</v>
      </c>
      <c r="BF461" s="61">
        <v>40</v>
      </c>
      <c r="BG461" s="61"/>
      <c r="BH461" s="75"/>
      <c r="BI461" s="84"/>
      <c r="BJ461" s="77"/>
      <c r="BK461" s="82" t="s">
        <v>37</v>
      </c>
      <c r="BL461" s="83">
        <f>BL456/8</f>
        <v>81.26875</v>
      </c>
    </row>
    <row r="462" ht="15.75" spans="2:64">
      <c r="B462" s="59"/>
      <c r="C462" s="60">
        <v>542</v>
      </c>
      <c r="D462" s="61">
        <v>45</v>
      </c>
      <c r="E462" s="62"/>
      <c r="F462" s="61"/>
      <c r="G462" s="61"/>
      <c r="H462" s="75"/>
      <c r="I462" s="76"/>
      <c r="J462" s="77"/>
      <c r="K462" s="77"/>
      <c r="L462" s="87"/>
      <c r="O462" s="59">
        <v>7975</v>
      </c>
      <c r="Q462" s="61"/>
      <c r="R462" s="60">
        <v>108</v>
      </c>
      <c r="S462" s="61">
        <v>16</v>
      </c>
      <c r="T462" s="61">
        <v>3500</v>
      </c>
      <c r="U462" s="63" t="s">
        <v>265</v>
      </c>
      <c r="V462" s="64"/>
      <c r="W462" s="65" t="s">
        <v>21</v>
      </c>
      <c r="X462" s="66"/>
      <c r="Y462" s="67">
        <f>T490</f>
        <v>9071</v>
      </c>
      <c r="AB462" s="69"/>
      <c r="AC462" s="70"/>
      <c r="AD462" s="71"/>
      <c r="AE462" s="70"/>
      <c r="AF462" s="70"/>
      <c r="AG462" s="70"/>
      <c r="AH462" s="72"/>
      <c r="AI462" s="73"/>
      <c r="AJ462" s="94" t="s">
        <v>52</v>
      </c>
      <c r="AK462" s="95" t="s">
        <v>27</v>
      </c>
      <c r="AL462" s="95" t="s">
        <v>43</v>
      </c>
      <c r="AO462" s="69"/>
      <c r="AP462" s="70"/>
      <c r="AQ462" s="85"/>
      <c r="AR462" s="70">
        <v>428</v>
      </c>
      <c r="AS462" s="70">
        <v>42.8</v>
      </c>
      <c r="AT462" s="70"/>
      <c r="AU462" s="72"/>
      <c r="AV462" s="73"/>
      <c r="AW462" s="77"/>
      <c r="AX462" s="58"/>
      <c r="AY462" s="58"/>
      <c r="BB462" s="69"/>
      <c r="BC462" s="70"/>
      <c r="BD462" s="85"/>
      <c r="BE462" s="70">
        <v>1129</v>
      </c>
      <c r="BF462" s="70">
        <v>112.9</v>
      </c>
      <c r="BG462" s="70"/>
      <c r="BH462" s="72"/>
      <c r="BI462" s="73"/>
      <c r="BJ462" s="86"/>
      <c r="BK462" s="77"/>
      <c r="BL462" s="87"/>
    </row>
    <row r="463" ht="15.75" spans="2:64">
      <c r="B463" s="69"/>
      <c r="C463" s="70">
        <v>448</v>
      </c>
      <c r="D463" s="71">
        <v>52</v>
      </c>
      <c r="E463" s="70"/>
      <c r="F463" s="70"/>
      <c r="G463" s="70"/>
      <c r="H463" s="72"/>
      <c r="I463" s="73"/>
      <c r="J463" s="58"/>
      <c r="K463" s="58"/>
      <c r="L463" s="58"/>
      <c r="O463" s="69"/>
      <c r="P463" s="70"/>
      <c r="Q463" s="71"/>
      <c r="R463" s="70">
        <v>280</v>
      </c>
      <c r="S463" s="71"/>
      <c r="T463" s="70">
        <v>197</v>
      </c>
      <c r="U463" s="72" t="s">
        <v>266</v>
      </c>
      <c r="V463" s="73"/>
      <c r="W463" s="74" t="s">
        <v>26</v>
      </c>
      <c r="X463" s="57"/>
      <c r="Y463" s="49">
        <f>O490+Y460+Y461-Y462-R490-S490</f>
        <v>1575</v>
      </c>
      <c r="AB463" s="59"/>
      <c r="AC463" s="60"/>
      <c r="AD463" s="61"/>
      <c r="AE463" s="62"/>
      <c r="AF463" s="61"/>
      <c r="AG463" s="61"/>
      <c r="AH463" s="75"/>
      <c r="AI463" s="76"/>
      <c r="AJ463" s="77"/>
      <c r="AK463" s="77"/>
      <c r="AL463" s="87"/>
      <c r="AO463" s="59"/>
      <c r="AP463" s="60"/>
      <c r="AQ463" s="61"/>
      <c r="AR463" s="62"/>
      <c r="AS463" s="61"/>
      <c r="AT463" s="61"/>
      <c r="AU463" s="75"/>
      <c r="AV463" s="84"/>
      <c r="AW463" s="77"/>
      <c r="AX463" s="58"/>
      <c r="AY463" s="58"/>
      <c r="BB463" s="59"/>
      <c r="BC463" s="60"/>
      <c r="BD463" s="61"/>
      <c r="BE463" s="62">
        <v>213</v>
      </c>
      <c r="BF463" s="61">
        <v>21.3</v>
      </c>
      <c r="BG463" s="61"/>
      <c r="BH463" s="75"/>
      <c r="BI463" s="84"/>
      <c r="BJ463" s="77"/>
      <c r="BK463" s="58"/>
      <c r="BL463" s="58"/>
    </row>
    <row r="464" spans="2:64">
      <c r="B464" s="59"/>
      <c r="C464" s="60">
        <v>272</v>
      </c>
      <c r="D464" s="61">
        <v>27</v>
      </c>
      <c r="E464" s="62"/>
      <c r="F464" s="61"/>
      <c r="G464" s="61"/>
      <c r="H464" s="75"/>
      <c r="I464" s="76"/>
      <c r="J464" s="58"/>
      <c r="K464" s="58"/>
      <c r="L464" s="58"/>
      <c r="O464" s="59"/>
      <c r="P464" s="60"/>
      <c r="Q464" s="60"/>
      <c r="R464" s="60">
        <v>516</v>
      </c>
      <c r="S464" s="61">
        <v>51.6</v>
      </c>
      <c r="T464" s="61">
        <v>25</v>
      </c>
      <c r="U464" s="75" t="s">
        <v>29</v>
      </c>
      <c r="V464" s="76"/>
      <c r="W464" s="77"/>
      <c r="X464" s="78" t="s">
        <v>30</v>
      </c>
      <c r="Y464" s="79">
        <f>Y461/4</f>
        <v>229.1125</v>
      </c>
      <c r="AB464" s="69"/>
      <c r="AC464" s="70"/>
      <c r="AD464" s="71"/>
      <c r="AE464" s="70"/>
      <c r="AF464" s="70"/>
      <c r="AG464" s="70"/>
      <c r="AH464" s="72"/>
      <c r="AI464" s="73"/>
      <c r="AO464" s="69"/>
      <c r="AP464" s="70"/>
      <c r="AQ464" s="85"/>
      <c r="AR464" s="70"/>
      <c r="AS464" s="70"/>
      <c r="AT464" s="70"/>
      <c r="AU464" s="72"/>
      <c r="AV464" s="73"/>
      <c r="AW464" s="89" t="s">
        <v>44</v>
      </c>
      <c r="AX464" s="90" t="s">
        <v>45</v>
      </c>
      <c r="AY464" s="90" t="s">
        <v>46</v>
      </c>
      <c r="BB464" s="69"/>
      <c r="BC464" s="70"/>
      <c r="BD464" s="85"/>
      <c r="BE464" s="70">
        <v>504</v>
      </c>
      <c r="BF464" s="70"/>
      <c r="BG464" s="70"/>
      <c r="BH464" s="72"/>
      <c r="BI464" s="73"/>
      <c r="BJ464" s="77"/>
      <c r="BK464" s="58"/>
      <c r="BL464" s="58"/>
    </row>
    <row r="465" spans="2:64">
      <c r="B465" s="69"/>
      <c r="C465" s="71"/>
      <c r="D465" s="71">
        <v>30</v>
      </c>
      <c r="E465" s="70">
        <v>344</v>
      </c>
      <c r="F465" s="70"/>
      <c r="G465" s="70"/>
      <c r="H465" s="72"/>
      <c r="I465" s="73"/>
      <c r="J465" s="58"/>
      <c r="K465" s="58"/>
      <c r="L465" s="58"/>
      <c r="O465" s="69"/>
      <c r="P465" s="70"/>
      <c r="Q465" s="71"/>
      <c r="R465" s="70">
        <v>1074</v>
      </c>
      <c r="S465" s="70">
        <v>107</v>
      </c>
      <c r="T465" s="70">
        <v>99</v>
      </c>
      <c r="U465" s="72" t="s">
        <v>267</v>
      </c>
      <c r="V465" s="73"/>
      <c r="W465" s="77"/>
      <c r="X465" s="80" t="s">
        <v>34</v>
      </c>
      <c r="Y465" s="81">
        <f>Y461/6</f>
        <v>152.741666666667</v>
      </c>
      <c r="AB465" s="59"/>
      <c r="AC465" s="60"/>
      <c r="AD465" s="61"/>
      <c r="AE465" s="62"/>
      <c r="AF465" s="61"/>
      <c r="AG465" s="61"/>
      <c r="AH465" s="75"/>
      <c r="AI465" s="76"/>
      <c r="AO465" s="59"/>
      <c r="AP465" s="60"/>
      <c r="AQ465" s="61"/>
      <c r="AR465" s="62"/>
      <c r="AS465" s="61"/>
      <c r="AT465" s="61"/>
      <c r="AU465" s="75"/>
      <c r="AV465" s="84"/>
      <c r="AW465" s="92" t="s">
        <v>47</v>
      </c>
      <c r="AX465" s="93" t="s">
        <v>51</v>
      </c>
      <c r="AY465" s="93" t="s">
        <v>43</v>
      </c>
      <c r="BB465" s="59"/>
      <c r="BC465" s="60">
        <v>273</v>
      </c>
      <c r="BD465" s="61">
        <v>27</v>
      </c>
      <c r="BE465" s="62" t="s">
        <v>125</v>
      </c>
      <c r="BF465" s="61"/>
      <c r="BG465" s="61"/>
      <c r="BH465" s="75"/>
      <c r="BI465" s="84"/>
      <c r="BJ465" s="77"/>
      <c r="BK465" s="58"/>
      <c r="BL465" s="58"/>
    </row>
    <row r="466" spans="2:64">
      <c r="B466" s="59"/>
      <c r="C466" s="61"/>
      <c r="D466" s="61"/>
      <c r="E466" s="62"/>
      <c r="F466" s="61"/>
      <c r="G466" s="61"/>
      <c r="H466" s="75"/>
      <c r="I466" s="76"/>
      <c r="J466" s="58"/>
      <c r="K466" s="58"/>
      <c r="L466" s="58"/>
      <c r="O466" s="59"/>
      <c r="P466">
        <v>225</v>
      </c>
      <c r="Q466" s="61">
        <v>75</v>
      </c>
      <c r="R466" s="62"/>
      <c r="S466" s="61"/>
      <c r="T466" s="61">
        <v>63</v>
      </c>
      <c r="U466" s="75" t="s">
        <v>108</v>
      </c>
      <c r="V466" s="76"/>
      <c r="W466" s="77"/>
      <c r="X466" s="82" t="s">
        <v>37</v>
      </c>
      <c r="Y466" s="83">
        <f>Y461/8</f>
        <v>114.55625</v>
      </c>
      <c r="AB466" s="69"/>
      <c r="AC466" s="70"/>
      <c r="AD466" s="71"/>
      <c r="AE466" s="70"/>
      <c r="AF466" s="70"/>
      <c r="AG466" s="70"/>
      <c r="AH466" s="72"/>
      <c r="AI466" s="73"/>
      <c r="AO466" s="69"/>
      <c r="AP466" s="70"/>
      <c r="AQ466" s="85"/>
      <c r="AR466" s="70"/>
      <c r="AS466" s="70"/>
      <c r="AT466" s="70"/>
      <c r="AU466" s="72"/>
      <c r="AV466" s="73"/>
      <c r="AW466" s="94" t="s">
        <v>52</v>
      </c>
      <c r="AX466" s="95" t="s">
        <v>27</v>
      </c>
      <c r="AY466" s="95" t="s">
        <v>67</v>
      </c>
      <c r="BB466" s="69"/>
      <c r="BC466" s="70"/>
      <c r="BD466" s="85"/>
      <c r="BE466" s="70">
        <v>517</v>
      </c>
      <c r="BF466" s="70">
        <v>51.7</v>
      </c>
      <c r="BG466" s="70"/>
      <c r="BH466" s="72"/>
      <c r="BI466" s="73"/>
      <c r="BJ466" s="89" t="s">
        <v>44</v>
      </c>
      <c r="BK466" s="90" t="s">
        <v>45</v>
      </c>
      <c r="BL466" s="90" t="s">
        <v>46</v>
      </c>
    </row>
    <row r="467" spans="2:64">
      <c r="B467" s="69"/>
      <c r="C467" s="70"/>
      <c r="D467" s="71"/>
      <c r="E467" s="70"/>
      <c r="F467" s="70"/>
      <c r="G467" s="70"/>
      <c r="H467" s="72"/>
      <c r="I467" s="73"/>
      <c r="J467" s="58"/>
      <c r="K467" s="58"/>
      <c r="L467" s="58"/>
      <c r="O467" s="69"/>
      <c r="P467" s="60"/>
      <c r="Q467" s="85"/>
      <c r="R467" s="70">
        <v>234</v>
      </c>
      <c r="S467" s="70">
        <v>35</v>
      </c>
      <c r="T467" s="70">
        <v>30</v>
      </c>
      <c r="U467" s="72" t="s">
        <v>29</v>
      </c>
      <c r="V467" s="73"/>
      <c r="W467" s="86"/>
      <c r="X467" s="77"/>
      <c r="Y467" s="87"/>
      <c r="AB467" s="59"/>
      <c r="AC467" s="60"/>
      <c r="AD467" s="61"/>
      <c r="AE467" s="62"/>
      <c r="AF467" s="61"/>
      <c r="AG467" s="61"/>
      <c r="AH467" s="75"/>
      <c r="AI467" s="76"/>
      <c r="AO467" s="59"/>
      <c r="AP467" s="60"/>
      <c r="AQ467" s="61"/>
      <c r="AR467" s="62"/>
      <c r="AS467" s="61"/>
      <c r="AT467" s="61"/>
      <c r="AU467" s="75"/>
      <c r="AV467" s="84"/>
      <c r="AW467" s="77"/>
      <c r="AX467" s="77"/>
      <c r="AY467" s="87"/>
      <c r="BB467" s="59"/>
      <c r="BC467" s="60">
        <v>328</v>
      </c>
      <c r="BD467" s="61">
        <v>36</v>
      </c>
      <c r="BE467" s="62"/>
      <c r="BF467" s="61"/>
      <c r="BG467" s="61"/>
      <c r="BH467" s="75"/>
      <c r="BI467" s="84"/>
      <c r="BJ467" s="92" t="s">
        <v>47</v>
      </c>
      <c r="BK467" s="93" t="s">
        <v>27</v>
      </c>
      <c r="BL467" s="93" t="s">
        <v>43</v>
      </c>
    </row>
    <row r="468" ht="15.75" spans="2:64">
      <c r="B468" s="59"/>
      <c r="C468" s="60"/>
      <c r="D468" s="61"/>
      <c r="E468" s="62"/>
      <c r="F468" s="61"/>
      <c r="G468" s="61"/>
      <c r="H468" s="75"/>
      <c r="I468" s="76"/>
      <c r="O468" s="59"/>
      <c r="P468" s="60"/>
      <c r="Q468" s="61"/>
      <c r="R468" s="62">
        <v>234</v>
      </c>
      <c r="S468" s="61">
        <v>23</v>
      </c>
      <c r="T468" s="61">
        <v>2632</v>
      </c>
      <c r="U468" s="75" t="s">
        <v>38</v>
      </c>
      <c r="V468" s="76"/>
      <c r="W468" s="77"/>
      <c r="X468" s="58"/>
      <c r="Y468" s="58"/>
      <c r="AB468" s="69"/>
      <c r="AC468" s="70"/>
      <c r="AD468" s="71"/>
      <c r="AE468" s="70"/>
      <c r="AF468" s="70"/>
      <c r="AG468" s="70"/>
      <c r="AH468" s="72"/>
      <c r="AI468" s="73"/>
      <c r="AO468" s="69"/>
      <c r="AP468" s="70"/>
      <c r="AQ468" s="85"/>
      <c r="AR468" s="70"/>
      <c r="AS468" s="70"/>
      <c r="AT468" s="70"/>
      <c r="AU468" s="72"/>
      <c r="AV468" s="73"/>
      <c r="AW468" s="58"/>
      <c r="AX468" s="58"/>
      <c r="AY468" s="58"/>
      <c r="BB468" s="69"/>
      <c r="BC468" s="70"/>
      <c r="BD468" s="85"/>
      <c r="BE468" s="70">
        <v>225</v>
      </c>
      <c r="BF468" s="70"/>
      <c r="BG468" s="70"/>
      <c r="BH468" s="72"/>
      <c r="BI468" s="73"/>
      <c r="BJ468" s="94" t="s">
        <v>52</v>
      </c>
      <c r="BK468" s="95" t="s">
        <v>48</v>
      </c>
      <c r="BL468" s="95" t="s">
        <v>65</v>
      </c>
    </row>
    <row r="469" ht="15.75" spans="2:64">
      <c r="B469" s="69"/>
      <c r="C469" s="112"/>
      <c r="D469" s="71"/>
      <c r="E469" s="58"/>
      <c r="F469" s="70"/>
      <c r="G469" s="70"/>
      <c r="H469" s="72"/>
      <c r="I469" s="73"/>
      <c r="O469" s="69"/>
      <c r="P469" s="70">
        <v>15</v>
      </c>
      <c r="Q469" s="71"/>
      <c r="R469" s="70"/>
      <c r="S469" s="70"/>
      <c r="T469" s="70">
        <v>2525</v>
      </c>
      <c r="U469" s="72" t="s">
        <v>43</v>
      </c>
      <c r="V469" s="73"/>
      <c r="W469" s="77"/>
      <c r="X469" s="58"/>
      <c r="Y469" s="58"/>
      <c r="AB469" s="102">
        <f t="shared" ref="AB469:AG469" si="82">SUM(AB451:AB468)</f>
        <v>575</v>
      </c>
      <c r="AC469" s="103">
        <f t="shared" si="82"/>
        <v>2045</v>
      </c>
      <c r="AD469" s="104">
        <f t="shared" si="82"/>
        <v>138</v>
      </c>
      <c r="AE469" s="105">
        <f t="shared" si="82"/>
        <v>914</v>
      </c>
      <c r="AF469" s="106">
        <f t="shared" si="82"/>
        <v>53</v>
      </c>
      <c r="AG469" s="107">
        <f t="shared" si="82"/>
        <v>343</v>
      </c>
      <c r="AH469" s="108" t="s">
        <v>54</v>
      </c>
      <c r="AI469" s="109"/>
      <c r="AO469" s="59"/>
      <c r="AP469" s="60"/>
      <c r="AQ469" s="61"/>
      <c r="AR469" s="62"/>
      <c r="AS469" s="61"/>
      <c r="AT469" s="61"/>
      <c r="AU469" s="75"/>
      <c r="AV469" s="84"/>
      <c r="AW469" s="58"/>
      <c r="AX469" s="58"/>
      <c r="AY469" s="58"/>
      <c r="BB469" s="59"/>
      <c r="BC469" s="60">
        <v>457</v>
      </c>
      <c r="BD469" s="61"/>
      <c r="BE469" s="62"/>
      <c r="BF469" s="61"/>
      <c r="BG469" s="61"/>
      <c r="BH469" s="75"/>
      <c r="BI469" s="84"/>
      <c r="BJ469" s="77"/>
      <c r="BK469" s="77"/>
      <c r="BL469" s="87"/>
    </row>
    <row r="470" spans="2:64">
      <c r="B470" s="59"/>
      <c r="C470" s="60"/>
      <c r="D470" s="61"/>
      <c r="E470" s="62"/>
      <c r="F470" s="61"/>
      <c r="G470" s="61"/>
      <c r="H470" s="75"/>
      <c r="I470" s="76"/>
      <c r="O470" s="59"/>
      <c r="P470" s="60">
        <v>440</v>
      </c>
      <c r="Q470" s="88">
        <v>40</v>
      </c>
      <c r="R470" s="62"/>
      <c r="S470" s="61"/>
      <c r="T470" s="61"/>
      <c r="U470" s="75"/>
      <c r="V470" s="76"/>
      <c r="W470" s="77"/>
      <c r="X470" s="58"/>
      <c r="Y470" s="58"/>
      <c r="AO470" s="59"/>
      <c r="AP470" s="60"/>
      <c r="AQ470" s="61"/>
      <c r="AR470" s="62"/>
      <c r="AS470" s="61"/>
      <c r="AT470" s="61"/>
      <c r="AU470" s="75"/>
      <c r="AV470" s="76"/>
      <c r="BB470" s="69"/>
      <c r="BC470" s="70"/>
      <c r="BD470" s="85"/>
      <c r="BE470" s="70">
        <v>808</v>
      </c>
      <c r="BF470" s="70">
        <v>100</v>
      </c>
      <c r="BG470" s="70"/>
      <c r="BH470" s="72"/>
      <c r="BI470" s="73"/>
      <c r="BJ470" s="58"/>
      <c r="BK470" s="58"/>
      <c r="BL470" s="58"/>
    </row>
    <row r="471" ht="15.75" spans="2:64">
      <c r="B471" s="96"/>
      <c r="C471" s="97"/>
      <c r="D471" s="98"/>
      <c r="E471" s="99"/>
      <c r="F471" s="98"/>
      <c r="G471" s="98"/>
      <c r="H471" s="72"/>
      <c r="I471" s="73"/>
      <c r="O471" s="69"/>
      <c r="P471" s="70"/>
      <c r="Q471" s="71"/>
      <c r="R471" s="70">
        <v>278</v>
      </c>
      <c r="S471" s="70">
        <v>27.8</v>
      </c>
      <c r="T471" s="70"/>
      <c r="U471" s="72"/>
      <c r="V471" s="73"/>
      <c r="W471" s="89" t="s">
        <v>44</v>
      </c>
      <c r="X471" s="90" t="s">
        <v>45</v>
      </c>
      <c r="Y471" s="90" t="s">
        <v>46</v>
      </c>
      <c r="AO471" s="96"/>
      <c r="AP471" s="97"/>
      <c r="AQ471" s="98"/>
      <c r="AR471" s="99"/>
      <c r="AS471" s="98"/>
      <c r="AT471" s="98"/>
      <c r="AU471" s="72"/>
      <c r="AV471" s="73"/>
      <c r="BB471" s="59"/>
      <c r="BC471" s="60">
        <v>244</v>
      </c>
      <c r="BD471" s="61">
        <v>25</v>
      </c>
      <c r="BE471" s="62"/>
      <c r="BF471" s="61"/>
      <c r="BG471" s="61"/>
      <c r="BH471" s="75"/>
      <c r="BI471" s="76"/>
    </row>
    <row r="472" spans="2:64">
      <c r="B472" s="59"/>
      <c r="C472" s="60"/>
      <c r="D472" s="61"/>
      <c r="E472" s="62"/>
      <c r="F472" s="61"/>
      <c r="G472" s="61"/>
      <c r="H472" s="75"/>
      <c r="I472" s="76"/>
      <c r="O472" s="59"/>
      <c r="P472" s="60"/>
      <c r="Q472" s="61"/>
      <c r="R472" s="62">
        <v>348</v>
      </c>
      <c r="S472" s="61"/>
      <c r="T472" s="61"/>
      <c r="U472" s="75"/>
      <c r="V472" s="76"/>
      <c r="W472" s="92" t="s">
        <v>47</v>
      </c>
      <c r="X472" s="93" t="s">
        <v>48</v>
      </c>
      <c r="Y472" s="93" t="s">
        <v>65</v>
      </c>
      <c r="AB472" s="33" t="s">
        <v>268</v>
      </c>
      <c r="AC472" s="34"/>
      <c r="AD472" s="34"/>
      <c r="AE472" s="34"/>
      <c r="AF472" s="34"/>
      <c r="AG472" s="34"/>
      <c r="AH472" s="34"/>
      <c r="AI472" s="34"/>
      <c r="AJ472" s="34"/>
      <c r="AK472" s="34"/>
      <c r="AL472" s="35"/>
      <c r="AO472" s="59"/>
      <c r="AP472" s="60"/>
      <c r="AQ472" s="61"/>
      <c r="AR472" s="62"/>
      <c r="AS472" s="61"/>
      <c r="AT472" s="61"/>
      <c r="AU472" s="75"/>
      <c r="AV472" s="76"/>
      <c r="BB472" s="96"/>
      <c r="BC472" s="97"/>
      <c r="BD472" s="98"/>
      <c r="BE472" s="99">
        <v>415</v>
      </c>
      <c r="BF472" s="98">
        <v>65.25</v>
      </c>
      <c r="BG472" s="98"/>
      <c r="BH472" s="72"/>
      <c r="BI472" s="73"/>
    </row>
    <row r="473" ht="15.75" spans="2:64">
      <c r="B473" s="59"/>
      <c r="C473" s="60"/>
      <c r="D473" s="61"/>
      <c r="E473" s="62"/>
      <c r="F473" s="61"/>
      <c r="G473" s="61"/>
      <c r="H473" s="75"/>
      <c r="I473" s="76"/>
      <c r="O473" s="69"/>
      <c r="P473" s="70"/>
      <c r="Q473" s="71">
        <v>45</v>
      </c>
      <c r="R473" s="70">
        <v>465</v>
      </c>
      <c r="S473" s="70"/>
      <c r="T473" s="70"/>
      <c r="U473" s="72"/>
      <c r="V473" s="73"/>
      <c r="W473" s="94" t="s">
        <v>52</v>
      </c>
      <c r="X473" s="95" t="s">
        <v>27</v>
      </c>
      <c r="Y473" s="95" t="s">
        <v>43</v>
      </c>
      <c r="AB473" s="36"/>
      <c r="AC473" s="37"/>
      <c r="AD473" s="37"/>
      <c r="AE473" s="37"/>
      <c r="AF473" s="37"/>
      <c r="AG473" s="37"/>
      <c r="AH473" s="37"/>
      <c r="AI473" s="37"/>
      <c r="AJ473" s="37"/>
      <c r="AK473" s="37"/>
      <c r="AL473" s="38"/>
      <c r="AO473" s="96"/>
      <c r="AP473" s="97"/>
      <c r="AQ473" s="98"/>
      <c r="AR473" s="99"/>
      <c r="AS473" s="98"/>
      <c r="AT473" s="98"/>
      <c r="AU473" s="72"/>
      <c r="AV473" s="73"/>
      <c r="BB473" s="59"/>
      <c r="BC473" s="60">
        <v>384</v>
      </c>
      <c r="BD473" s="61">
        <v>39</v>
      </c>
      <c r="BE473" s="62"/>
      <c r="BF473" s="61"/>
      <c r="BG473" s="61"/>
      <c r="BH473" s="75"/>
      <c r="BI473" s="76"/>
    </row>
    <row r="474" ht="15.75" spans="2:64">
      <c r="B474" s="69"/>
      <c r="C474" s="112"/>
      <c r="D474" s="71"/>
      <c r="E474" s="58"/>
      <c r="F474" s="70"/>
      <c r="G474" s="70"/>
      <c r="H474" s="72"/>
      <c r="I474" s="73"/>
      <c r="O474" s="59"/>
      <c r="P474" s="60">
        <v>340</v>
      </c>
      <c r="Q474" s="61"/>
      <c r="R474" s="62"/>
      <c r="S474" s="61"/>
      <c r="T474" s="61"/>
      <c r="U474" s="75"/>
      <c r="V474" s="76"/>
      <c r="W474" s="77"/>
      <c r="X474" s="77"/>
      <c r="Y474" s="87"/>
      <c r="AB474" s="39" t="s">
        <v>12</v>
      </c>
      <c r="AC474" s="40" t="s">
        <v>13</v>
      </c>
      <c r="AD474" s="41"/>
      <c r="AE474" s="42" t="s">
        <v>14</v>
      </c>
      <c r="AF474" s="43"/>
      <c r="AG474" s="44" t="s">
        <v>15</v>
      </c>
      <c r="AH474" s="45"/>
      <c r="AI474" s="46"/>
      <c r="AJ474" s="47" t="s">
        <v>16</v>
      </c>
      <c r="AK474" s="48"/>
      <c r="AL474" s="49">
        <f>AC493+AE493</f>
        <v>1945</v>
      </c>
      <c r="AO474" s="102">
        <f t="shared" ref="AO474:AT474" si="83">SUM(AO455:AO473)</f>
        <v>803</v>
      </c>
      <c r="AP474" s="103">
        <f t="shared" si="83"/>
        <v>946</v>
      </c>
      <c r="AQ474" s="104">
        <f t="shared" si="83"/>
        <v>33</v>
      </c>
      <c r="AR474" s="105">
        <f t="shared" si="83"/>
        <v>1617</v>
      </c>
      <c r="AS474" s="106">
        <f t="shared" si="83"/>
        <v>72.05</v>
      </c>
      <c r="AT474" s="107">
        <f t="shared" si="83"/>
        <v>310</v>
      </c>
      <c r="AU474" s="108" t="s">
        <v>54</v>
      </c>
      <c r="AV474" s="109"/>
      <c r="BB474" s="96"/>
      <c r="BC474" s="97"/>
      <c r="BD474" s="98"/>
      <c r="BE474" s="99"/>
      <c r="BF474" s="98"/>
      <c r="BG474" s="98"/>
      <c r="BH474" s="72"/>
      <c r="BI474" s="73"/>
    </row>
    <row r="475" ht="15.75" spans="2:64">
      <c r="B475" s="102">
        <f t="shared" ref="B475:G475" si="84">SUM(B450:B474)</f>
        <v>1545</v>
      </c>
      <c r="C475" s="103">
        <f t="shared" si="84"/>
        <v>2036</v>
      </c>
      <c r="D475" s="104">
        <f t="shared" si="84"/>
        <v>274</v>
      </c>
      <c r="E475" s="105">
        <f t="shared" si="84"/>
        <v>2393</v>
      </c>
      <c r="F475" s="106">
        <f t="shared" si="84"/>
        <v>162.1</v>
      </c>
      <c r="G475" s="107">
        <f t="shared" si="84"/>
        <v>1094.8</v>
      </c>
      <c r="H475" s="108" t="s">
        <v>54</v>
      </c>
      <c r="I475" s="109"/>
      <c r="O475" s="69"/>
      <c r="P475" s="70">
        <v>175</v>
      </c>
      <c r="Q475" s="71">
        <v>20</v>
      </c>
      <c r="R475" s="70"/>
      <c r="S475" s="70"/>
      <c r="T475" s="70"/>
      <c r="U475" s="72"/>
      <c r="V475" s="73"/>
      <c r="W475" s="58"/>
      <c r="X475" s="58"/>
      <c r="Y475" s="58"/>
      <c r="AB475" s="50"/>
      <c r="AC475" s="51" t="s">
        <v>17</v>
      </c>
      <c r="AD475" s="51" t="s">
        <v>18</v>
      </c>
      <c r="AE475" s="52" t="s">
        <v>17</v>
      </c>
      <c r="AF475" s="52" t="s">
        <v>18</v>
      </c>
      <c r="AG475" s="53"/>
      <c r="AH475" s="54"/>
      <c r="AI475" s="55"/>
      <c r="AJ475" s="56" t="s">
        <v>19</v>
      </c>
      <c r="AK475" s="57"/>
      <c r="AL475" s="49">
        <f>AD493+AF493</f>
        <v>90.9</v>
      </c>
      <c r="BB475" s="59"/>
      <c r="BC475" s="60"/>
      <c r="BD475" s="61"/>
      <c r="BE475" s="62"/>
      <c r="BF475" s="61"/>
      <c r="BG475" s="61"/>
      <c r="BH475" s="75"/>
      <c r="BI475" s="76"/>
    </row>
    <row r="476" ht="15.75" spans="2:64">
      <c r="O476" s="59"/>
      <c r="P476" s="60">
        <v>556</v>
      </c>
      <c r="Q476" s="61">
        <v>20</v>
      </c>
      <c r="R476" s="62"/>
      <c r="S476" s="61"/>
      <c r="T476" s="61"/>
      <c r="U476" s="75"/>
      <c r="V476" s="76"/>
      <c r="W476" s="58"/>
      <c r="X476" s="58"/>
      <c r="Y476" s="58"/>
      <c r="AB476" s="59">
        <v>415</v>
      </c>
      <c r="AC476" s="60">
        <v>464</v>
      </c>
      <c r="AD476" s="61"/>
      <c r="AE476" s="62"/>
      <c r="AF476" s="61"/>
      <c r="AG476" s="61">
        <v>30</v>
      </c>
      <c r="AH476" s="63" t="s">
        <v>29</v>
      </c>
      <c r="AI476" s="64"/>
      <c r="AJ476" s="65" t="s">
        <v>21</v>
      </c>
      <c r="AK476" s="66"/>
      <c r="AL476" s="67">
        <f>AG493</f>
        <v>30</v>
      </c>
      <c r="BB476" s="96"/>
      <c r="BC476" s="97"/>
      <c r="BD476" s="98"/>
      <c r="BE476" s="99"/>
      <c r="BF476" s="98"/>
      <c r="BG476" s="98"/>
      <c r="BH476" s="72"/>
      <c r="BI476" s="73"/>
    </row>
    <row r="477" ht="15.75" spans="2:64">
      <c r="O477" s="69"/>
      <c r="P477" s="71">
        <v>580</v>
      </c>
      <c r="Q477" s="71">
        <v>20</v>
      </c>
      <c r="R477" s="70"/>
      <c r="S477" s="70"/>
      <c r="T477" s="70"/>
      <c r="U477" s="72"/>
      <c r="V477" s="73"/>
      <c r="W477" s="58"/>
      <c r="X477" s="58"/>
      <c r="Y477" s="58"/>
      <c r="AB477" s="69">
        <v>100</v>
      </c>
      <c r="AC477" s="70">
        <v>310</v>
      </c>
      <c r="AD477" s="71">
        <v>11</v>
      </c>
      <c r="AE477" s="70"/>
      <c r="AF477" s="70"/>
      <c r="AG477" s="70"/>
      <c r="AH477" s="72"/>
      <c r="AI477" s="73"/>
      <c r="AJ477" s="74" t="s">
        <v>26</v>
      </c>
      <c r="AK477" s="57"/>
      <c r="AL477" s="49">
        <f>AB493+AL474+AL475-AL476-AE493-AF493</f>
        <v>1270</v>
      </c>
      <c r="AO477" s="33" t="s">
        <v>269</v>
      </c>
      <c r="AP477" s="34"/>
      <c r="AQ477" s="34"/>
      <c r="AR477" s="34"/>
      <c r="AS477" s="34"/>
      <c r="AT477" s="34"/>
      <c r="AU477" s="34"/>
      <c r="AV477" s="34"/>
      <c r="AW477" s="34"/>
      <c r="AX477" s="34"/>
      <c r="AY477" s="35"/>
      <c r="BB477" s="102">
        <f t="shared" ref="BB477:BG477" si="85">SUM(BB457:BB476)</f>
        <v>1511</v>
      </c>
      <c r="BC477" s="103">
        <f t="shared" si="85"/>
        <v>2180</v>
      </c>
      <c r="BD477" s="104">
        <f t="shared" si="85"/>
        <v>177</v>
      </c>
      <c r="BE477" s="105">
        <f t="shared" si="85"/>
        <v>5365</v>
      </c>
      <c r="BF477" s="106">
        <f t="shared" si="85"/>
        <v>473.15</v>
      </c>
      <c r="BG477" s="107">
        <f t="shared" si="85"/>
        <v>1095</v>
      </c>
      <c r="BH477" s="108" t="s">
        <v>54</v>
      </c>
      <c r="BI477" s="109"/>
    </row>
    <row r="478" ht="15.75" spans="2:64">
      <c r="B478" s="33" t="s">
        <v>270</v>
      </c>
      <c r="C478" s="34"/>
      <c r="D478" s="34"/>
      <c r="E478" s="34"/>
      <c r="F478" s="34"/>
      <c r="G478" s="34"/>
      <c r="H478" s="34"/>
      <c r="I478" s="34"/>
      <c r="J478" s="34"/>
      <c r="K478" s="34"/>
      <c r="L478" s="35"/>
      <c r="O478" s="59"/>
      <c r="P478" s="61"/>
      <c r="Q478" s="61">
        <v>60</v>
      </c>
      <c r="R478" s="62">
        <v>660</v>
      </c>
      <c r="S478" s="61"/>
      <c r="T478" s="61"/>
      <c r="U478" s="75"/>
      <c r="V478" s="76"/>
      <c r="W478" s="58"/>
      <c r="X478" s="58"/>
      <c r="Y478" s="58"/>
      <c r="AB478" s="59"/>
      <c r="AC478" s="60"/>
      <c r="AD478" s="61"/>
      <c r="AE478" s="62">
        <v>799</v>
      </c>
      <c r="AF478" s="61">
        <v>79.9</v>
      </c>
      <c r="AG478" s="61"/>
      <c r="AH478" s="75"/>
      <c r="AI478" s="76"/>
      <c r="AJ478" s="77"/>
      <c r="AK478" s="78" t="s">
        <v>30</v>
      </c>
      <c r="AL478" s="79">
        <f>AL475/4</f>
        <v>22.725</v>
      </c>
      <c r="AO478" s="36"/>
      <c r="AP478" s="37"/>
      <c r="AQ478" s="37"/>
      <c r="AR478" s="37"/>
      <c r="AS478" s="37"/>
      <c r="AT478" s="37"/>
      <c r="AU478" s="37"/>
      <c r="AV478" s="37"/>
      <c r="AW478" s="37"/>
      <c r="AX478" s="37"/>
      <c r="AY478" s="38"/>
    </row>
    <row r="479" ht="15.75" spans="2:64">
      <c r="B479" s="36"/>
      <c r="C479" s="37"/>
      <c r="D479" s="37"/>
      <c r="E479" s="37"/>
      <c r="F479" s="37"/>
      <c r="G479" s="37"/>
      <c r="H479" s="37"/>
      <c r="I479" s="37"/>
      <c r="J479" s="37"/>
      <c r="K479" s="37"/>
      <c r="L479" s="38"/>
      <c r="O479" s="69"/>
      <c r="P479" s="71"/>
      <c r="Q479" s="71"/>
      <c r="R479" s="70">
        <v>213</v>
      </c>
      <c r="S479" s="70">
        <v>21.3</v>
      </c>
      <c r="T479" s="70"/>
      <c r="U479" s="72"/>
      <c r="V479" s="73"/>
      <c r="W479" s="58"/>
      <c r="X479" s="58"/>
      <c r="Y479" s="58"/>
      <c r="AB479" s="69"/>
      <c r="AC479" s="70"/>
      <c r="AD479" s="71"/>
      <c r="AE479" s="70">
        <v>235</v>
      </c>
      <c r="AF479" s="70"/>
      <c r="AG479" s="70"/>
      <c r="AH479" s="72"/>
      <c r="AI479" s="73"/>
      <c r="AJ479" s="77"/>
      <c r="AK479" s="80" t="s">
        <v>34</v>
      </c>
      <c r="AL479" s="81">
        <f>AL475/6</f>
        <v>15.15</v>
      </c>
      <c r="AO479" s="39" t="s">
        <v>12</v>
      </c>
      <c r="AP479" s="40" t="s">
        <v>13</v>
      </c>
      <c r="AQ479" s="41"/>
      <c r="AR479" s="42" t="s">
        <v>14</v>
      </c>
      <c r="AS479" s="43"/>
      <c r="AT479" s="44" t="s">
        <v>15</v>
      </c>
      <c r="AU479" s="45"/>
      <c r="AV479" s="46"/>
      <c r="AW479" s="47" t="s">
        <v>16</v>
      </c>
      <c r="AX479" s="48"/>
      <c r="AY479" s="49">
        <f>AP501+AR501</f>
        <v>4550</v>
      </c>
    </row>
    <row r="480" ht="15.75" spans="2:64">
      <c r="B480" s="39" t="s">
        <v>12</v>
      </c>
      <c r="C480" s="40" t="s">
        <v>13</v>
      </c>
      <c r="D480" s="41"/>
      <c r="E480" s="42" t="s">
        <v>14</v>
      </c>
      <c r="F480" s="43"/>
      <c r="G480" s="44" t="s">
        <v>15</v>
      </c>
      <c r="H480" s="45"/>
      <c r="I480" s="46"/>
      <c r="J480" s="47" t="s">
        <v>16</v>
      </c>
      <c r="K480" s="48"/>
      <c r="L480" s="49">
        <f>C507+E507</f>
        <v>3222</v>
      </c>
      <c r="O480" s="59"/>
      <c r="P480" s="61"/>
      <c r="Q480" s="61"/>
      <c r="R480" s="62">
        <v>616</v>
      </c>
      <c r="S480" s="61">
        <v>61.6</v>
      </c>
      <c r="T480" s="61"/>
      <c r="U480" s="75"/>
      <c r="V480" s="76"/>
      <c r="W480" s="58"/>
      <c r="X480" s="58"/>
      <c r="Y480" s="58"/>
      <c r="AB480" s="59"/>
      <c r="AC480" s="60"/>
      <c r="AD480" s="61"/>
      <c r="AE480" s="62">
        <v>137</v>
      </c>
      <c r="AF480" s="61"/>
      <c r="AG480" s="61"/>
      <c r="AH480" s="75"/>
      <c r="AI480" s="76"/>
      <c r="AJ480" s="77"/>
      <c r="AK480" s="82" t="s">
        <v>37</v>
      </c>
      <c r="AL480" s="83">
        <f>AL475/8</f>
        <v>11.3625</v>
      </c>
      <c r="AO480" s="50"/>
      <c r="AP480" s="51" t="s">
        <v>17</v>
      </c>
      <c r="AQ480" s="51" t="s">
        <v>18</v>
      </c>
      <c r="AR480" s="52" t="s">
        <v>17</v>
      </c>
      <c r="AS480" s="52" t="s">
        <v>18</v>
      </c>
      <c r="AT480" s="53"/>
      <c r="AU480" s="54"/>
      <c r="AV480" s="55"/>
      <c r="AW480" s="56" t="s">
        <v>19</v>
      </c>
      <c r="AX480" s="57"/>
      <c r="AY480" s="49">
        <f>AQ501+AS501</f>
        <v>375.4</v>
      </c>
    </row>
    <row r="481" ht="15.75" spans="2:64">
      <c r="B481" s="50"/>
      <c r="C481" s="51" t="s">
        <v>17</v>
      </c>
      <c r="D481" s="51" t="s">
        <v>18</v>
      </c>
      <c r="E481" s="52" t="s">
        <v>17</v>
      </c>
      <c r="F481" s="52" t="s">
        <v>18</v>
      </c>
      <c r="G481" s="53"/>
      <c r="H481" s="54"/>
      <c r="I481" s="55"/>
      <c r="J481" s="56" t="s">
        <v>19</v>
      </c>
      <c r="K481" s="57"/>
      <c r="L481" s="49">
        <f>D507+F507</f>
        <v>263.8</v>
      </c>
      <c r="O481" s="69"/>
      <c r="P481" s="71"/>
      <c r="Q481" s="71"/>
      <c r="R481" s="70">
        <v>223</v>
      </c>
      <c r="S481" s="70">
        <v>22.3</v>
      </c>
      <c r="T481" s="70"/>
      <c r="U481" s="72"/>
      <c r="V481" s="73"/>
      <c r="W481" s="58"/>
      <c r="AB481" s="69"/>
      <c r="AC481" s="70"/>
      <c r="AD481" s="85"/>
      <c r="AE481" s="70"/>
      <c r="AF481" s="70"/>
      <c r="AG481" s="70"/>
      <c r="AH481" s="72"/>
      <c r="AI481" s="73"/>
      <c r="AJ481" s="86"/>
      <c r="AK481" s="77"/>
      <c r="AL481" s="87"/>
      <c r="AO481" s="59">
        <v>1472</v>
      </c>
      <c r="AP481" s="68">
        <v>137</v>
      </c>
      <c r="AQ481" s="61"/>
      <c r="AR481" s="62"/>
      <c r="AS481" s="61"/>
      <c r="AT481" s="61">
        <v>276</v>
      </c>
      <c r="AU481" s="63" t="s">
        <v>80</v>
      </c>
      <c r="AV481" s="64"/>
      <c r="AW481" s="65" t="s">
        <v>21</v>
      </c>
      <c r="AX481" s="66"/>
      <c r="AY481" s="67">
        <f>AT501</f>
        <v>876</v>
      </c>
    </row>
    <row r="482" ht="15.75" spans="2:64">
      <c r="B482" s="59">
        <v>3772</v>
      </c>
      <c r="C482" s="60">
        <v>137</v>
      </c>
      <c r="D482" s="61"/>
      <c r="E482" s="62"/>
      <c r="F482" s="61"/>
      <c r="G482" s="61">
        <v>30</v>
      </c>
      <c r="H482" s="63" t="s">
        <v>60</v>
      </c>
      <c r="I482" s="64"/>
      <c r="J482" s="65" t="s">
        <v>21</v>
      </c>
      <c r="K482" s="66"/>
      <c r="L482" s="67">
        <f>G507</f>
        <v>3840</v>
      </c>
      <c r="O482" s="59"/>
      <c r="P482" s="61"/>
      <c r="Q482" s="61"/>
      <c r="R482" s="62">
        <v>630</v>
      </c>
      <c r="S482" s="61">
        <v>31.5</v>
      </c>
      <c r="T482" s="61"/>
      <c r="U482" s="75"/>
      <c r="V482" s="76"/>
      <c r="W482" s="58"/>
      <c r="AB482" s="59"/>
      <c r="AC482" s="60"/>
      <c r="AD482" s="61"/>
      <c r="AE482" s="62"/>
      <c r="AF482" s="61"/>
      <c r="AG482" s="61"/>
      <c r="AH482" s="75"/>
      <c r="AI482" s="76"/>
      <c r="AJ482" s="77"/>
      <c r="AK482" s="58"/>
      <c r="AL482" s="58"/>
      <c r="AO482" s="69"/>
      <c r="AP482" s="70"/>
      <c r="AQ482" s="71">
        <v>10</v>
      </c>
      <c r="AR482" s="70">
        <v>198</v>
      </c>
      <c r="AS482" s="70"/>
      <c r="AT482" s="70">
        <v>600</v>
      </c>
      <c r="AU482" s="72" t="s">
        <v>39</v>
      </c>
      <c r="AV482" s="73"/>
      <c r="AW482" s="74" t="s">
        <v>26</v>
      </c>
      <c r="AX482" s="57"/>
      <c r="AY482" s="49">
        <f>AO501+AY479+AY480-AY481-AR501-AS501</f>
        <v>1815</v>
      </c>
      <c r="BB482" s="33" t="s">
        <v>271</v>
      </c>
      <c r="BC482" s="34"/>
      <c r="BD482" s="34"/>
      <c r="BE482" s="34"/>
      <c r="BF482" s="34"/>
      <c r="BG482" s="34"/>
      <c r="BH482" s="34"/>
      <c r="BI482" s="34"/>
      <c r="BJ482" s="34"/>
      <c r="BK482" s="34"/>
      <c r="BL482" s="35"/>
    </row>
    <row r="483" ht="15.75" spans="2:64">
      <c r="B483" s="69"/>
      <c r="C483" s="70">
        <v>524</v>
      </c>
      <c r="D483" s="71">
        <v>26</v>
      </c>
      <c r="E483" s="70"/>
      <c r="F483" s="70"/>
      <c r="G483" s="70">
        <v>3500</v>
      </c>
      <c r="H483" s="72" t="s">
        <v>119</v>
      </c>
      <c r="I483" s="73"/>
      <c r="J483" s="74" t="s">
        <v>26</v>
      </c>
      <c r="K483" s="57"/>
      <c r="L483" s="49">
        <f>B507+L480+L481-L482-E507-F507</f>
        <v>2119</v>
      </c>
      <c r="O483" s="69"/>
      <c r="P483" s="71"/>
      <c r="Q483" s="71"/>
      <c r="R483" s="70">
        <v>202</v>
      </c>
      <c r="S483" s="70">
        <v>20.2</v>
      </c>
      <c r="T483" s="70"/>
      <c r="U483" s="72"/>
      <c r="V483" s="73"/>
      <c r="W483" s="58"/>
      <c r="AB483" s="69"/>
      <c r="AC483" s="70"/>
      <c r="AD483" s="71"/>
      <c r="AE483" s="70"/>
      <c r="AF483" s="70"/>
      <c r="AG483" s="70"/>
      <c r="AH483" s="72"/>
      <c r="AI483" s="73"/>
      <c r="AJ483" s="77"/>
      <c r="AK483" s="58"/>
      <c r="AL483" s="58"/>
      <c r="AO483" s="59"/>
      <c r="AP483" s="60"/>
      <c r="AQ483" s="61">
        <v>15</v>
      </c>
      <c r="AR483" s="62">
        <v>461</v>
      </c>
      <c r="AS483" s="61"/>
      <c r="AT483" s="61"/>
      <c r="AU483" s="75"/>
      <c r="AV483" s="76"/>
      <c r="AW483" s="77"/>
      <c r="AX483" s="78" t="s">
        <v>30</v>
      </c>
      <c r="AY483" s="79">
        <f>AY480/4</f>
        <v>93.85</v>
      </c>
      <c r="BB483" s="36"/>
      <c r="BC483" s="37"/>
      <c r="BD483" s="37"/>
      <c r="BE483" s="37"/>
      <c r="BF483" s="37"/>
      <c r="BG483" s="37"/>
      <c r="BH483" s="37"/>
      <c r="BI483" s="37"/>
      <c r="BJ483" s="37"/>
      <c r="BK483" s="37"/>
      <c r="BL483" s="38"/>
    </row>
    <row r="484" ht="15.75" spans="2:64">
      <c r="B484" s="59"/>
      <c r="C484" s="60"/>
      <c r="D484" s="61"/>
      <c r="E484" s="62">
        <v>355</v>
      </c>
      <c r="F484" s="61"/>
      <c r="G484" s="61">
        <v>30</v>
      </c>
      <c r="H484" s="75" t="s">
        <v>29</v>
      </c>
      <c r="I484" s="76"/>
      <c r="J484" s="77"/>
      <c r="K484" s="78" t="s">
        <v>30</v>
      </c>
      <c r="L484" s="79">
        <f>L481/4</f>
        <v>65.95</v>
      </c>
      <c r="O484" s="59"/>
      <c r="P484" s="61"/>
      <c r="Q484" s="61"/>
      <c r="R484" s="62">
        <v>385</v>
      </c>
      <c r="S484" s="61">
        <v>57.75</v>
      </c>
      <c r="T484" s="61"/>
      <c r="U484" s="75"/>
      <c r="V484" s="76"/>
      <c r="W484" s="58"/>
      <c r="AB484" s="59"/>
      <c r="AC484" s="60"/>
      <c r="AD484" s="88"/>
      <c r="AE484" s="62"/>
      <c r="AF484" s="61"/>
      <c r="AG484" s="61"/>
      <c r="AH484" s="75"/>
      <c r="AI484" s="76"/>
      <c r="AJ484" s="77"/>
      <c r="AK484" s="58"/>
      <c r="AL484" s="58"/>
      <c r="AO484" s="69"/>
      <c r="AP484" s="70"/>
      <c r="AQ484" s="71"/>
      <c r="AR484" s="70">
        <v>569</v>
      </c>
      <c r="AS484" s="70">
        <v>56.9</v>
      </c>
      <c r="AT484" s="70"/>
      <c r="AU484" s="72"/>
      <c r="AV484" s="73"/>
      <c r="AW484" s="77"/>
      <c r="AX484" s="80" t="s">
        <v>34</v>
      </c>
      <c r="AY484" s="81">
        <f>AY480/6</f>
        <v>62.5666666666667</v>
      </c>
      <c r="BB484" s="39" t="s">
        <v>12</v>
      </c>
      <c r="BC484" s="40" t="s">
        <v>13</v>
      </c>
      <c r="BD484" s="41"/>
      <c r="BE484" s="42" t="s">
        <v>14</v>
      </c>
      <c r="BF484" s="43"/>
      <c r="BG484" s="44" t="s">
        <v>15</v>
      </c>
      <c r="BH484" s="45"/>
      <c r="BI484" s="46"/>
      <c r="BJ484" s="47" t="s">
        <v>16</v>
      </c>
      <c r="BK484" s="48"/>
      <c r="BL484" s="49">
        <f>BC506+BE506</f>
        <v>2895</v>
      </c>
    </row>
    <row r="485" ht="15.75" spans="2:64">
      <c r="B485" s="69"/>
      <c r="C485" s="70">
        <v>8</v>
      </c>
      <c r="D485" s="71">
        <v>2</v>
      </c>
      <c r="E485" s="70"/>
      <c r="F485" s="70"/>
      <c r="G485" s="70">
        <v>280</v>
      </c>
      <c r="H485" s="72" t="s">
        <v>59</v>
      </c>
      <c r="I485" s="73"/>
      <c r="J485" s="77"/>
      <c r="K485" s="80" t="s">
        <v>34</v>
      </c>
      <c r="L485" s="81">
        <f>L481/6</f>
        <v>43.9666666666667</v>
      </c>
      <c r="O485" s="69"/>
      <c r="P485" s="71"/>
      <c r="Q485" s="71"/>
      <c r="R485" s="70">
        <v>488</v>
      </c>
      <c r="S485" s="70">
        <v>48.8</v>
      </c>
      <c r="T485" s="70"/>
      <c r="U485" s="72"/>
      <c r="V485" s="73"/>
      <c r="W485" s="58"/>
      <c r="AB485" s="69"/>
      <c r="AC485" s="70"/>
      <c r="AD485" s="71"/>
      <c r="AE485" s="70"/>
      <c r="AF485" s="70"/>
      <c r="AG485" s="70"/>
      <c r="AH485" s="72"/>
      <c r="AI485" s="73"/>
      <c r="AJ485" s="89" t="s">
        <v>44</v>
      </c>
      <c r="AK485" s="90" t="s">
        <v>45</v>
      </c>
      <c r="AL485" s="90" t="s">
        <v>46</v>
      </c>
      <c r="AO485" s="59"/>
      <c r="AP485" s="60">
        <v>235</v>
      </c>
      <c r="AQ485" s="61">
        <v>25</v>
      </c>
      <c r="AR485" s="62"/>
      <c r="AS485" s="61"/>
      <c r="AT485" s="61"/>
      <c r="AU485" s="75"/>
      <c r="AV485" s="84"/>
      <c r="AW485" s="77"/>
      <c r="AX485" s="82" t="s">
        <v>37</v>
      </c>
      <c r="AY485" s="83">
        <f>AY480/8</f>
        <v>46.925</v>
      </c>
      <c r="BB485" s="50"/>
      <c r="BC485" s="51" t="s">
        <v>17</v>
      </c>
      <c r="BD485" s="51" t="s">
        <v>18</v>
      </c>
      <c r="BE485" s="52" t="s">
        <v>17</v>
      </c>
      <c r="BF485" s="52" t="s">
        <v>18</v>
      </c>
      <c r="BG485" s="53"/>
      <c r="BH485" s="54"/>
      <c r="BI485" s="55"/>
      <c r="BJ485" s="56" t="s">
        <v>19</v>
      </c>
      <c r="BK485" s="57"/>
      <c r="BL485" s="49">
        <f>BD506+BF506</f>
        <v>194.6</v>
      </c>
    </row>
    <row r="486" ht="15.75" spans="2:64">
      <c r="B486" s="59"/>
      <c r="C486" s="60"/>
      <c r="D486" s="61"/>
      <c r="E486" s="62">
        <v>396</v>
      </c>
      <c r="F486" s="61">
        <v>59.4</v>
      </c>
      <c r="G486" s="61"/>
      <c r="H486" s="75"/>
      <c r="I486" s="76"/>
      <c r="J486" s="77"/>
      <c r="K486" s="82" t="s">
        <v>37</v>
      </c>
      <c r="L486" s="83">
        <f>L481/8</f>
        <v>32.975</v>
      </c>
      <c r="O486" s="59"/>
      <c r="P486" s="61"/>
      <c r="Q486" s="61"/>
      <c r="R486" s="62">
        <v>526</v>
      </c>
      <c r="S486" s="61">
        <v>52.6</v>
      </c>
      <c r="T486" s="61"/>
      <c r="U486" s="75"/>
      <c r="V486" s="76"/>
      <c r="W486" s="58"/>
      <c r="AB486" s="59"/>
      <c r="AC486" s="60"/>
      <c r="AD486" s="61"/>
      <c r="AE486" s="62"/>
      <c r="AF486" s="61"/>
      <c r="AG486" s="61"/>
      <c r="AH486" s="75"/>
      <c r="AI486" s="76"/>
      <c r="AJ486" s="92" t="s">
        <v>47</v>
      </c>
      <c r="AK486" s="93" t="s">
        <v>48</v>
      </c>
      <c r="AL486" s="93" t="s">
        <v>65</v>
      </c>
      <c r="AO486" s="69"/>
      <c r="AP486" s="70"/>
      <c r="AQ486" s="85"/>
      <c r="AR486" s="70">
        <v>536</v>
      </c>
      <c r="AS486" s="70">
        <v>80.4</v>
      </c>
      <c r="AT486" s="70"/>
      <c r="AU486" s="72"/>
      <c r="AV486" s="73"/>
      <c r="AW486" s="86"/>
      <c r="AX486" s="77"/>
      <c r="AY486" s="87"/>
      <c r="BB486" s="59">
        <v>673</v>
      </c>
      <c r="BC486" s="68">
        <v>25</v>
      </c>
      <c r="BD486" s="61"/>
      <c r="BE486" s="62"/>
      <c r="BF486" s="61"/>
      <c r="BG486" s="61">
        <v>50</v>
      </c>
      <c r="BH486" s="63" t="s">
        <v>77</v>
      </c>
      <c r="BI486" s="64"/>
      <c r="BJ486" s="65" t="s">
        <v>21</v>
      </c>
      <c r="BK486" s="66"/>
      <c r="BL486" s="67">
        <f>BG506</f>
        <v>964</v>
      </c>
    </row>
    <row r="487" ht="15.75" spans="2:64">
      <c r="B487" s="69"/>
      <c r="C487" s="70">
        <v>235</v>
      </c>
      <c r="D487" s="85">
        <v>15</v>
      </c>
      <c r="E487" s="70"/>
      <c r="F487" s="70"/>
      <c r="G487" s="70"/>
      <c r="H487" s="72"/>
      <c r="I487" s="73"/>
      <c r="J487" s="86"/>
      <c r="K487" s="77"/>
      <c r="L487" s="87"/>
      <c r="O487" s="69"/>
      <c r="P487" s="71"/>
      <c r="Q487" s="71">
        <v>60</v>
      </c>
      <c r="R487" s="70">
        <v>741</v>
      </c>
      <c r="S487" s="70"/>
      <c r="T487" s="70"/>
      <c r="U487" s="72"/>
      <c r="V487" s="73"/>
      <c r="W487" s="58"/>
      <c r="AB487" s="69"/>
      <c r="AC487" s="70"/>
      <c r="AD487" s="71"/>
      <c r="AE487" s="70"/>
      <c r="AF487" s="70"/>
      <c r="AG487" s="70"/>
      <c r="AH487" s="72"/>
      <c r="AI487" s="73"/>
      <c r="AJ487" s="94" t="s">
        <v>52</v>
      </c>
      <c r="AK487" s="95" t="s">
        <v>27</v>
      </c>
      <c r="AL487" s="95" t="s">
        <v>43</v>
      </c>
      <c r="AO487" s="59"/>
      <c r="AP487" s="60">
        <v>108</v>
      </c>
      <c r="AQ487" s="61"/>
      <c r="AR487" s="62"/>
      <c r="AS487" s="61"/>
      <c r="AT487" s="61"/>
      <c r="AU487" s="75"/>
      <c r="AV487" s="84"/>
      <c r="AW487" s="77"/>
      <c r="AX487" s="58"/>
      <c r="AY487" s="58"/>
      <c r="BB487" s="69"/>
      <c r="BC487" s="70"/>
      <c r="BD487" s="71">
        <v>20</v>
      </c>
      <c r="BE487" s="70">
        <v>212</v>
      </c>
      <c r="BF487" s="70"/>
      <c r="BG487" s="70">
        <v>30</v>
      </c>
      <c r="BH487" s="72" t="s">
        <v>29</v>
      </c>
      <c r="BI487" s="73"/>
      <c r="BJ487" s="74" t="s">
        <v>26</v>
      </c>
      <c r="BK487" s="57"/>
      <c r="BL487" s="49">
        <f>BB506+BL484+BL485-BL486-BE506-BF506</f>
        <v>272</v>
      </c>
    </row>
    <row r="488" spans="2:64">
      <c r="B488" s="59"/>
      <c r="C488" s="60">
        <v>192</v>
      </c>
      <c r="D488" s="61">
        <v>28</v>
      </c>
      <c r="E488" s="62"/>
      <c r="F488" s="61"/>
      <c r="G488" s="61"/>
      <c r="H488" s="75"/>
      <c r="I488" s="76"/>
      <c r="J488" s="77"/>
      <c r="K488" s="58"/>
      <c r="L488" s="58"/>
      <c r="O488" s="59"/>
      <c r="P488" s="61"/>
      <c r="Q488" s="61"/>
      <c r="R488" s="62"/>
      <c r="S488" s="61"/>
      <c r="T488" s="61"/>
      <c r="U488" s="75"/>
      <c r="V488" s="76"/>
      <c r="W488" s="58"/>
      <c r="AB488" s="59"/>
      <c r="AC488" s="60"/>
      <c r="AD488" s="61"/>
      <c r="AE488" s="62"/>
      <c r="AF488" s="61"/>
      <c r="AG488" s="61"/>
      <c r="AH488" s="75"/>
      <c r="AI488" s="76"/>
      <c r="AJ488" s="77"/>
      <c r="AK488" s="77"/>
      <c r="AL488" s="87"/>
      <c r="AO488" s="69"/>
      <c r="AP488" s="70">
        <v>16</v>
      </c>
      <c r="AQ488" s="85"/>
      <c r="AR488" s="70"/>
      <c r="AS488" s="70"/>
      <c r="AT488" s="70"/>
      <c r="AU488" s="72"/>
      <c r="AV488" s="73"/>
      <c r="AW488" s="77"/>
      <c r="AX488" s="58"/>
      <c r="AY488" s="58"/>
      <c r="BB488" s="59"/>
      <c r="BC488" s="60"/>
      <c r="BD488" s="61"/>
      <c r="BE488" s="62">
        <v>250</v>
      </c>
      <c r="BF488" s="61"/>
      <c r="BG488" s="61">
        <v>884</v>
      </c>
      <c r="BH488" s="75" t="s">
        <v>272</v>
      </c>
      <c r="BI488" s="76"/>
      <c r="BJ488" s="77"/>
      <c r="BK488" s="78" t="s">
        <v>30</v>
      </c>
      <c r="BL488" s="79">
        <f>BL485/4</f>
        <v>48.65</v>
      </c>
    </row>
    <row r="489" ht="15.75" spans="2:64">
      <c r="B489" s="69"/>
      <c r="C489" s="70">
        <v>478</v>
      </c>
      <c r="D489" s="71">
        <v>42</v>
      </c>
      <c r="E489" s="70"/>
      <c r="F489" s="70"/>
      <c r="G489" s="70"/>
      <c r="H489" s="72"/>
      <c r="I489" s="73"/>
      <c r="J489" s="77"/>
      <c r="K489" s="58"/>
      <c r="L489" s="58"/>
      <c r="O489" s="96"/>
      <c r="P489" s="97"/>
      <c r="Q489" s="98"/>
      <c r="R489" s="99"/>
      <c r="S489" s="98"/>
      <c r="T489" s="98"/>
      <c r="U489" s="100"/>
      <c r="V489" s="101"/>
      <c r="AB489" s="69"/>
      <c r="AC489" s="70"/>
      <c r="AD489" s="71"/>
      <c r="AE489" s="70"/>
      <c r="AF489" s="70"/>
      <c r="AG489" s="70"/>
      <c r="AH489" s="72"/>
      <c r="AI489" s="73"/>
      <c r="AJ489" s="58"/>
      <c r="AK489" s="58"/>
      <c r="AL489" s="58"/>
      <c r="AO489" s="59"/>
      <c r="AP489" s="60">
        <v>181</v>
      </c>
      <c r="AQ489" s="61"/>
      <c r="AR489" s="62"/>
      <c r="AS489" s="61"/>
      <c r="AT489" s="61"/>
      <c r="AU489" s="75"/>
      <c r="AV489" s="84"/>
      <c r="AW489" s="77"/>
      <c r="AX489" s="58"/>
      <c r="AY489" s="58"/>
      <c r="BB489" s="69"/>
      <c r="BC489" s="70"/>
      <c r="BD489" s="71"/>
      <c r="BE489" s="70">
        <v>400</v>
      </c>
      <c r="BF489" s="70">
        <v>20</v>
      </c>
      <c r="BG489" s="70"/>
      <c r="BH489" s="72"/>
      <c r="BI489" s="73"/>
      <c r="BJ489" s="77"/>
      <c r="BK489" s="80" t="s">
        <v>34</v>
      </c>
      <c r="BL489" s="81">
        <f>BL485/6</f>
        <v>32.4333333333333</v>
      </c>
    </row>
    <row r="490" ht="15.75" spans="2:64">
      <c r="B490" s="59"/>
      <c r="C490" s="60"/>
      <c r="D490" s="88"/>
      <c r="E490" s="62">
        <v>444</v>
      </c>
      <c r="F490" s="61">
        <v>44.4</v>
      </c>
      <c r="G490" s="61"/>
      <c r="H490" s="75"/>
      <c r="I490" s="76"/>
      <c r="J490" s="77"/>
      <c r="K490" s="58"/>
      <c r="L490" s="58"/>
      <c r="O490" s="102">
        <f t="shared" ref="O490:T490" si="86">SUM(O462:O489)</f>
        <v>7975</v>
      </c>
      <c r="P490" s="103">
        <f t="shared" si="86"/>
        <v>2331</v>
      </c>
      <c r="Q490" s="104">
        <f t="shared" si="86"/>
        <v>340</v>
      </c>
      <c r="R490" s="105">
        <f t="shared" si="86"/>
        <v>8221</v>
      </c>
      <c r="S490" s="106">
        <f t="shared" si="86"/>
        <v>576.45</v>
      </c>
      <c r="T490" s="107">
        <f t="shared" si="86"/>
        <v>9071</v>
      </c>
      <c r="U490" s="108" t="s">
        <v>54</v>
      </c>
      <c r="V490" s="109"/>
      <c r="AB490" s="59"/>
      <c r="AC490" s="60"/>
      <c r="AD490" s="61"/>
      <c r="AE490" s="62"/>
      <c r="AF490" s="61"/>
      <c r="AG490" s="61"/>
      <c r="AH490" s="75"/>
      <c r="AI490" s="76"/>
      <c r="AO490" s="69"/>
      <c r="AP490" s="70"/>
      <c r="AQ490" s="85"/>
      <c r="AR490" s="70">
        <v>388</v>
      </c>
      <c r="AS490" s="70">
        <v>38.8</v>
      </c>
      <c r="AT490" s="70"/>
      <c r="AU490" s="72"/>
      <c r="AV490" s="73"/>
      <c r="AW490" s="89" t="s">
        <v>44</v>
      </c>
      <c r="AX490" s="90" t="s">
        <v>45</v>
      </c>
      <c r="AY490" s="90" t="s">
        <v>46</v>
      </c>
      <c r="BB490" s="59"/>
      <c r="BC490" s="60"/>
      <c r="BD490" s="61"/>
      <c r="BE490" s="62">
        <v>766</v>
      </c>
      <c r="BF490" s="61">
        <v>76.6</v>
      </c>
      <c r="BG490" s="61"/>
      <c r="BH490" s="75"/>
      <c r="BI490" s="84"/>
      <c r="BJ490" s="77"/>
      <c r="BK490" s="82" t="s">
        <v>37</v>
      </c>
      <c r="BL490" s="83">
        <f>BL485/8</f>
        <v>24.325</v>
      </c>
    </row>
    <row r="491" spans="2:64">
      <c r="B491" s="69"/>
      <c r="C491" s="70">
        <v>453</v>
      </c>
      <c r="D491" s="71">
        <v>47</v>
      </c>
      <c r="E491" s="70"/>
      <c r="F491" s="70"/>
      <c r="G491" s="70"/>
      <c r="H491" s="72"/>
      <c r="I491" s="73"/>
      <c r="J491" s="89" t="s">
        <v>44</v>
      </c>
      <c r="K491" s="90" t="s">
        <v>45</v>
      </c>
      <c r="L491" s="90" t="s">
        <v>46</v>
      </c>
      <c r="AB491" s="69"/>
      <c r="AC491" s="70"/>
      <c r="AD491" s="71"/>
      <c r="AE491" s="70"/>
      <c r="AF491" s="70"/>
      <c r="AG491" s="70"/>
      <c r="AH491" s="72"/>
      <c r="AI491" s="73"/>
      <c r="AO491" s="59"/>
      <c r="AP491" s="60"/>
      <c r="AQ491" s="61"/>
      <c r="AR491" s="62">
        <v>214</v>
      </c>
      <c r="AS491" s="61"/>
      <c r="AT491" s="61"/>
      <c r="AU491" s="75"/>
      <c r="AV491" s="84"/>
      <c r="AW491" s="92" t="s">
        <v>47</v>
      </c>
      <c r="AX491" s="93" t="s">
        <v>51</v>
      </c>
      <c r="AY491" s="93" t="s">
        <v>43</v>
      </c>
      <c r="BB491" s="69"/>
      <c r="BC491" s="70">
        <v>127</v>
      </c>
      <c r="BD491" s="85">
        <v>23</v>
      </c>
      <c r="BE491" s="70"/>
      <c r="BF491" s="70"/>
      <c r="BG491" s="70"/>
      <c r="BH491" s="72"/>
      <c r="BI491" s="73"/>
      <c r="BJ491" s="86"/>
      <c r="BK491" s="77"/>
      <c r="BL491" s="87"/>
    </row>
    <row r="492" ht="15.75" spans="2:64">
      <c r="B492" s="59"/>
      <c r="C492" s="60"/>
      <c r="D492" s="61"/>
      <c r="E492" s="62"/>
      <c r="F492" s="61"/>
      <c r="G492" s="61"/>
      <c r="H492" s="75"/>
      <c r="I492" s="76"/>
      <c r="J492" s="92" t="s">
        <v>47</v>
      </c>
      <c r="K492" s="93" t="s">
        <v>48</v>
      </c>
      <c r="L492" s="93" t="s">
        <v>39</v>
      </c>
      <c r="AB492" s="59"/>
      <c r="AC492" s="60"/>
      <c r="AD492" s="61"/>
      <c r="AE492" s="62"/>
      <c r="AF492" s="61"/>
      <c r="AG492" s="61"/>
      <c r="AH492" s="75"/>
      <c r="AI492" s="76"/>
      <c r="AO492" s="69"/>
      <c r="AP492" s="70">
        <v>142</v>
      </c>
      <c r="AQ492" s="85"/>
      <c r="AR492" s="70"/>
      <c r="AS492" s="70"/>
      <c r="AT492" s="70"/>
      <c r="AU492" s="72"/>
      <c r="AV492" s="73"/>
      <c r="AW492" s="94" t="s">
        <v>52</v>
      </c>
      <c r="AX492" s="95" t="s">
        <v>27</v>
      </c>
      <c r="AY492" s="95" t="s">
        <v>67</v>
      </c>
      <c r="BB492" s="59"/>
      <c r="BC492" s="60"/>
      <c r="BD492" s="61">
        <v>10</v>
      </c>
      <c r="BE492" s="62">
        <v>358</v>
      </c>
      <c r="BF492" s="61"/>
      <c r="BG492" s="61"/>
      <c r="BH492" s="75"/>
      <c r="BI492" s="84"/>
      <c r="BJ492" s="77"/>
      <c r="BK492" s="58"/>
      <c r="BL492" s="58"/>
    </row>
    <row r="493" ht="15.75" spans="2:64">
      <c r="B493" s="69"/>
      <c r="C493" s="70"/>
      <c r="D493" s="71"/>
      <c r="E493" s="70"/>
      <c r="F493" s="70"/>
      <c r="G493" s="70"/>
      <c r="H493" s="72"/>
      <c r="I493" s="73"/>
      <c r="J493" s="94" t="s">
        <v>52</v>
      </c>
      <c r="K493" s="95" t="s">
        <v>27</v>
      </c>
      <c r="L493" s="95" t="s">
        <v>31</v>
      </c>
      <c r="AB493" s="102">
        <f t="shared" ref="AB493:AG493" si="87">SUM(AB476:AB492)</f>
        <v>515</v>
      </c>
      <c r="AC493" s="103">
        <f t="shared" si="87"/>
        <v>774</v>
      </c>
      <c r="AD493" s="104">
        <f t="shared" si="87"/>
        <v>11</v>
      </c>
      <c r="AE493" s="105">
        <f t="shared" si="87"/>
        <v>1171</v>
      </c>
      <c r="AF493" s="106">
        <f t="shared" si="87"/>
        <v>79.9</v>
      </c>
      <c r="AG493" s="107">
        <f t="shared" si="87"/>
        <v>30</v>
      </c>
      <c r="AH493" s="108" t="s">
        <v>54</v>
      </c>
      <c r="AI493" s="109"/>
      <c r="AO493" s="59"/>
      <c r="AP493" s="60"/>
      <c r="AQ493" s="61"/>
      <c r="AR493" s="62">
        <v>560</v>
      </c>
      <c r="AS493" s="61">
        <v>84</v>
      </c>
      <c r="AT493" s="61"/>
      <c r="AU493" s="75"/>
      <c r="AV493" s="84"/>
      <c r="AW493" s="77"/>
      <c r="AX493" s="77"/>
      <c r="AY493" s="87"/>
      <c r="BB493" s="69"/>
      <c r="BC493" s="70">
        <v>313</v>
      </c>
      <c r="BD493" s="85">
        <v>20</v>
      </c>
      <c r="BE493" s="70"/>
      <c r="BF493" s="70"/>
      <c r="BG493" s="70"/>
      <c r="BH493" s="72"/>
      <c r="BI493" s="73"/>
      <c r="BJ493" s="77"/>
      <c r="BK493" s="58"/>
      <c r="BL493" s="58"/>
    </row>
    <row r="494" spans="2:64">
      <c r="B494" s="59"/>
      <c r="C494" s="60"/>
      <c r="D494" s="61"/>
      <c r="E494" s="62"/>
      <c r="F494" s="61"/>
      <c r="G494" s="61"/>
      <c r="H494" s="75"/>
      <c r="I494" s="76"/>
      <c r="J494" s="77"/>
      <c r="K494" s="77"/>
      <c r="L494" s="87"/>
      <c r="O494" s="33" t="s">
        <v>273</v>
      </c>
      <c r="P494" s="34"/>
      <c r="Q494" s="34"/>
      <c r="R494" s="34"/>
      <c r="S494" s="34"/>
      <c r="T494" s="34"/>
      <c r="U494" s="34"/>
      <c r="V494" s="34"/>
      <c r="W494" s="34"/>
      <c r="X494" s="34"/>
      <c r="Y494" s="35"/>
      <c r="AO494" s="69"/>
      <c r="AP494" s="70"/>
      <c r="AQ494" s="85"/>
      <c r="AR494" s="70">
        <v>473</v>
      </c>
      <c r="AS494" s="70">
        <v>47.3</v>
      </c>
      <c r="AT494" s="70"/>
      <c r="AU494" s="72"/>
      <c r="AV494" s="73"/>
      <c r="AW494" s="58"/>
      <c r="AX494" s="58"/>
      <c r="AY494" s="58"/>
      <c r="BB494" s="59"/>
      <c r="BC494" s="60"/>
      <c r="BD494" s="61">
        <v>25</v>
      </c>
      <c r="BE494" s="62">
        <v>444</v>
      </c>
      <c r="BF494" s="61"/>
      <c r="BG494" s="61"/>
      <c r="BH494" s="75"/>
      <c r="BI494" s="84"/>
      <c r="BJ494" s="77"/>
      <c r="BK494" s="58"/>
      <c r="BL494" s="58"/>
    </row>
    <row r="495" ht="15.75" spans="2:64">
      <c r="B495" s="69"/>
      <c r="C495" s="70"/>
      <c r="D495" s="71"/>
      <c r="E495" s="70"/>
      <c r="F495" s="70"/>
      <c r="G495" s="70"/>
      <c r="H495" s="72"/>
      <c r="I495" s="73"/>
      <c r="J495" s="58"/>
      <c r="K495" s="58"/>
      <c r="L495" s="58"/>
      <c r="O495" s="36"/>
      <c r="P495" s="37"/>
      <c r="Q495" s="37"/>
      <c r="R495" s="37"/>
      <c r="S495" s="37"/>
      <c r="T495" s="37"/>
      <c r="U495" s="37"/>
      <c r="V495" s="37"/>
      <c r="W495" s="37"/>
      <c r="X495" s="37"/>
      <c r="Y495" s="38"/>
      <c r="AO495" s="59"/>
      <c r="AP495" s="60">
        <v>332</v>
      </c>
      <c r="AQ495" s="61">
        <v>18</v>
      </c>
      <c r="AR495" s="62"/>
      <c r="AS495" s="61"/>
      <c r="AT495" s="61"/>
      <c r="AU495" s="75"/>
      <c r="AV495" s="84"/>
      <c r="AW495" s="58"/>
      <c r="AX495" s="58"/>
      <c r="AY495" s="58"/>
      <c r="BB495" s="69"/>
      <c r="BC495" s="70"/>
      <c r="BD495" s="85"/>
      <c r="BE495" s="70"/>
      <c r="BF495" s="70"/>
      <c r="BG495" s="70"/>
      <c r="BH495" s="72"/>
      <c r="BI495" s="73"/>
      <c r="BJ495" s="89" t="s">
        <v>44</v>
      </c>
      <c r="BK495" s="90" t="s">
        <v>45</v>
      </c>
      <c r="BL495" s="90" t="s">
        <v>46</v>
      </c>
    </row>
    <row r="496" ht="19" customHeight="1" spans="2:64">
      <c r="B496" s="59"/>
      <c r="C496" s="60"/>
      <c r="D496" s="61"/>
      <c r="E496" s="62"/>
      <c r="F496" s="61"/>
      <c r="G496" s="61"/>
      <c r="H496" s="75"/>
      <c r="I496" s="76"/>
      <c r="J496" s="58"/>
      <c r="K496" s="58"/>
      <c r="L496" s="58"/>
      <c r="O496" s="39" t="s">
        <v>12</v>
      </c>
      <c r="P496" s="40" t="s">
        <v>13</v>
      </c>
      <c r="Q496" s="41"/>
      <c r="R496" s="42" t="s">
        <v>14</v>
      </c>
      <c r="S496" s="43"/>
      <c r="T496" s="44" t="s">
        <v>15</v>
      </c>
      <c r="U496" s="45"/>
      <c r="V496" s="46"/>
      <c r="W496" s="47" t="s">
        <v>16</v>
      </c>
      <c r="X496" s="48"/>
      <c r="Y496" s="49">
        <f>P518+R518</f>
        <v>4464</v>
      </c>
      <c r="AB496" s="33" t="s">
        <v>274</v>
      </c>
      <c r="AC496" s="34"/>
      <c r="AD496" s="34"/>
      <c r="AE496" s="34"/>
      <c r="AF496" s="34"/>
      <c r="AG496" s="34"/>
      <c r="AH496" s="34"/>
      <c r="AI496" s="34"/>
      <c r="AJ496" s="34"/>
      <c r="AK496" s="34"/>
      <c r="AL496" s="35"/>
      <c r="AO496" s="69"/>
      <c r="AP496" s="70"/>
      <c r="AQ496" s="85"/>
      <c r="AR496" s="70"/>
      <c r="AS496" s="70"/>
      <c r="AT496" s="70"/>
      <c r="AU496" s="72"/>
      <c r="AV496" s="73"/>
      <c r="AW496" s="58"/>
      <c r="AX496" s="58"/>
      <c r="AY496" s="58"/>
      <c r="BB496" s="59"/>
      <c r="BC496" s="60"/>
      <c r="BD496" s="61"/>
      <c r="BE496" s="62"/>
      <c r="BF496" s="61"/>
      <c r="BG496" s="61"/>
      <c r="BH496" s="75"/>
      <c r="BI496" s="84"/>
      <c r="BJ496" s="92" t="s">
        <v>47</v>
      </c>
      <c r="BK496" s="93" t="s">
        <v>27</v>
      </c>
      <c r="BL496" s="93" t="s">
        <v>43</v>
      </c>
    </row>
    <row r="497" ht="15.75" spans="2:64">
      <c r="B497" s="69"/>
      <c r="C497" s="71"/>
      <c r="D497" s="71"/>
      <c r="E497" s="70"/>
      <c r="F497" s="70"/>
      <c r="G497" s="70"/>
      <c r="H497" s="72"/>
      <c r="I497" s="73"/>
      <c r="J497" s="58"/>
      <c r="K497" s="58"/>
      <c r="L497" s="58"/>
      <c r="O497" s="50"/>
      <c r="P497" s="51" t="s">
        <v>17</v>
      </c>
      <c r="Q497" s="51" t="s">
        <v>18</v>
      </c>
      <c r="R497" s="52" t="s">
        <v>17</v>
      </c>
      <c r="S497" s="52" t="s">
        <v>18</v>
      </c>
      <c r="T497" s="53"/>
      <c r="U497" s="54"/>
      <c r="V497" s="55"/>
      <c r="W497" s="56" t="s">
        <v>19</v>
      </c>
      <c r="X497" s="57"/>
      <c r="Y497" s="49">
        <f>Q518+S518</f>
        <v>407.25</v>
      </c>
      <c r="AB497" s="36"/>
      <c r="AC497" s="37"/>
      <c r="AD497" s="37"/>
      <c r="AE497" s="37"/>
      <c r="AF497" s="37"/>
      <c r="AG497" s="37"/>
      <c r="AH497" s="37"/>
      <c r="AI497" s="37"/>
      <c r="AJ497" s="37"/>
      <c r="AK497" s="37"/>
      <c r="AL497" s="38"/>
      <c r="AO497" s="59"/>
      <c r="AP497" s="60"/>
      <c r="AQ497" s="61"/>
      <c r="AR497" s="62"/>
      <c r="AS497" s="61"/>
      <c r="AT497" s="61"/>
      <c r="AU497" s="75"/>
      <c r="AV497" s="84"/>
      <c r="AW497" s="58"/>
      <c r="AX497" s="58"/>
      <c r="AY497" s="58"/>
      <c r="BB497" s="69"/>
      <c r="BC497" s="70"/>
      <c r="BD497" s="85"/>
      <c r="BE497" s="70"/>
      <c r="BF497" s="70"/>
      <c r="BG497" s="70"/>
      <c r="BH497" s="72"/>
      <c r="BI497" s="73"/>
      <c r="BJ497" s="94" t="s">
        <v>52</v>
      </c>
      <c r="BK497" s="95" t="s">
        <v>48</v>
      </c>
      <c r="BL497" s="95" t="s">
        <v>65</v>
      </c>
    </row>
    <row r="498" ht="23" customHeight="1" spans="2:64">
      <c r="B498" s="59"/>
      <c r="C498" s="61"/>
      <c r="D498" s="61"/>
      <c r="E498" s="62"/>
      <c r="F498" s="61"/>
      <c r="G498" s="61"/>
      <c r="H498" s="75"/>
      <c r="I498" s="76"/>
      <c r="J498" s="58"/>
      <c r="K498" s="58"/>
      <c r="L498" s="58"/>
      <c r="O498" s="59">
        <v>3085</v>
      </c>
      <c r="P498">
        <v>60</v>
      </c>
      <c r="Q498" s="61"/>
      <c r="R498" s="60"/>
      <c r="S498" s="61"/>
      <c r="T498" s="61">
        <v>50</v>
      </c>
      <c r="U498" s="63" t="s">
        <v>29</v>
      </c>
      <c r="V498" s="64"/>
      <c r="W498" s="65" t="s">
        <v>21</v>
      </c>
      <c r="X498" s="66"/>
      <c r="Y498" s="67">
        <f>T518</f>
        <v>2940</v>
      </c>
      <c r="AB498" s="39" t="s">
        <v>12</v>
      </c>
      <c r="AC498" s="40" t="s">
        <v>13</v>
      </c>
      <c r="AD498" s="41"/>
      <c r="AE498" s="42" t="s">
        <v>14</v>
      </c>
      <c r="AF498" s="43"/>
      <c r="AG498" s="44" t="s">
        <v>15</v>
      </c>
      <c r="AH498" s="45"/>
      <c r="AI498" s="46"/>
      <c r="AJ498" s="47" t="s">
        <v>16</v>
      </c>
      <c r="AK498" s="48"/>
      <c r="AL498" s="49">
        <f>AC519+AE519</f>
        <v>5561</v>
      </c>
      <c r="AO498" s="69"/>
      <c r="AP498" s="70"/>
      <c r="AQ498" s="85"/>
      <c r="AR498" s="70"/>
      <c r="AS498" s="70"/>
      <c r="AT498" s="70"/>
      <c r="AU498" s="72"/>
      <c r="AV498" s="73"/>
      <c r="AW498" s="58"/>
      <c r="AX498" s="58"/>
      <c r="AY498" s="58"/>
      <c r="BB498" s="59"/>
      <c r="BC498" s="60"/>
      <c r="BD498" s="61"/>
      <c r="BE498" s="62"/>
      <c r="BF498" s="61"/>
      <c r="BG498" s="61"/>
      <c r="BH498" s="75"/>
      <c r="BI498" s="84"/>
      <c r="BJ498" s="77"/>
      <c r="BK498" s="77"/>
      <c r="BL498" s="87"/>
    </row>
    <row r="499" ht="15.75" spans="2:64">
      <c r="B499" s="69"/>
      <c r="C499" s="70"/>
      <c r="D499" s="71"/>
      <c r="E499" s="70"/>
      <c r="F499" s="70"/>
      <c r="G499" s="70"/>
      <c r="H499" s="72"/>
      <c r="I499" s="73"/>
      <c r="J499" s="58"/>
      <c r="K499" s="58"/>
      <c r="L499" s="58"/>
      <c r="O499" s="69"/>
      <c r="P499" s="70"/>
      <c r="Q499" s="71"/>
      <c r="R499" s="70">
        <v>137</v>
      </c>
      <c r="S499" s="71">
        <v>20.55</v>
      </c>
      <c r="T499" s="70">
        <v>3</v>
      </c>
      <c r="U499" s="72" t="s">
        <v>275</v>
      </c>
      <c r="V499" s="73"/>
      <c r="W499" s="74" t="s">
        <v>26</v>
      </c>
      <c r="X499" s="57"/>
      <c r="Y499" s="49">
        <f>O518+Y496+Y497-Y498-R518-S518</f>
        <v>1779</v>
      </c>
      <c r="AB499" s="50"/>
      <c r="AC499" s="51" t="s">
        <v>17</v>
      </c>
      <c r="AD499" s="51" t="s">
        <v>18</v>
      </c>
      <c r="AE499" s="52" t="s">
        <v>17</v>
      </c>
      <c r="AF499" s="52" t="s">
        <v>18</v>
      </c>
      <c r="AG499" s="53"/>
      <c r="AH499" s="54"/>
      <c r="AI499" s="55"/>
      <c r="AJ499" s="56" t="s">
        <v>19</v>
      </c>
      <c r="AK499" s="57"/>
      <c r="AL499" s="49">
        <f>AD519+AF519</f>
        <v>411.45</v>
      </c>
      <c r="AO499" s="59"/>
      <c r="AP499" s="60"/>
      <c r="AQ499" s="61"/>
      <c r="AR499" s="62"/>
      <c r="AS499" s="61"/>
      <c r="AT499" s="61"/>
      <c r="AU499" s="75"/>
      <c r="AV499" s="84"/>
      <c r="AW499" s="58"/>
      <c r="AX499" s="58"/>
      <c r="AY499" s="58"/>
      <c r="BB499" s="69"/>
      <c r="BC499" s="70"/>
      <c r="BD499" s="85"/>
      <c r="BE499" s="70"/>
      <c r="BF499" s="70"/>
      <c r="BG499" s="70"/>
      <c r="BH499" s="72"/>
      <c r="BI499" s="73"/>
      <c r="BJ499" s="58"/>
      <c r="BK499" s="58"/>
      <c r="BL499" s="58"/>
    </row>
    <row r="500" ht="15.75" spans="2:64">
      <c r="B500" s="59"/>
      <c r="C500" s="60"/>
      <c r="D500" s="61"/>
      <c r="E500" s="62"/>
      <c r="F500" s="61"/>
      <c r="G500" s="61"/>
      <c r="H500" s="75"/>
      <c r="I500" s="76"/>
      <c r="O500" s="59"/>
      <c r="P500" s="60"/>
      <c r="Q500" s="60"/>
      <c r="R500" s="60">
        <v>60</v>
      </c>
      <c r="S500" s="61">
        <v>6</v>
      </c>
      <c r="T500" s="61">
        <v>50</v>
      </c>
      <c r="U500" s="75" t="s">
        <v>276</v>
      </c>
      <c r="V500" s="76"/>
      <c r="W500" s="77"/>
      <c r="X500" s="78" t="s">
        <v>30</v>
      </c>
      <c r="Y500" s="79">
        <f>Y497/4</f>
        <v>101.8125</v>
      </c>
      <c r="AB500" s="59">
        <v>1270</v>
      </c>
      <c r="AC500" s="60"/>
      <c r="AD500" s="61"/>
      <c r="AE500" s="62">
        <v>316</v>
      </c>
      <c r="AF500" s="61">
        <v>15.8</v>
      </c>
      <c r="AG500" s="61">
        <v>285</v>
      </c>
      <c r="AH500" s="63" t="s">
        <v>59</v>
      </c>
      <c r="AI500" s="64"/>
      <c r="AJ500" s="65" t="s">
        <v>21</v>
      </c>
      <c r="AK500" s="66"/>
      <c r="AL500" s="67">
        <f>AG519</f>
        <v>315</v>
      </c>
      <c r="AO500" s="96"/>
      <c r="AP500" s="97"/>
      <c r="AQ500" s="98"/>
      <c r="AR500" s="99"/>
      <c r="AS500" s="98"/>
      <c r="AT500" s="98"/>
      <c r="AU500" s="72"/>
      <c r="AV500" s="73"/>
      <c r="BB500" s="59"/>
      <c r="BC500" s="60"/>
      <c r="BD500" s="61"/>
      <c r="BE500" s="62"/>
      <c r="BF500" s="61"/>
      <c r="BG500" s="61"/>
      <c r="BH500" s="75"/>
      <c r="BI500" s="76"/>
    </row>
    <row r="501" ht="15.75" spans="2:64">
      <c r="B501" s="69"/>
      <c r="C501" s="112"/>
      <c r="D501" s="71"/>
      <c r="E501" s="58"/>
      <c r="F501" s="70"/>
      <c r="G501" s="70"/>
      <c r="H501" s="72"/>
      <c r="I501" s="73"/>
      <c r="O501" s="69"/>
      <c r="P501" s="70"/>
      <c r="Q501" s="71"/>
      <c r="R501" s="70">
        <v>688</v>
      </c>
      <c r="S501" s="70">
        <v>68.8</v>
      </c>
      <c r="T501" s="70">
        <v>2657</v>
      </c>
      <c r="U501" s="72" t="s">
        <v>48</v>
      </c>
      <c r="V501" s="73"/>
      <c r="W501" s="77"/>
      <c r="X501" s="80" t="s">
        <v>34</v>
      </c>
      <c r="Y501" s="81">
        <f>Y497/6</f>
        <v>67.875</v>
      </c>
      <c r="AB501" s="69"/>
      <c r="AC501" s="70">
        <v>886</v>
      </c>
      <c r="AD501" s="71">
        <v>34</v>
      </c>
      <c r="AE501" s="70"/>
      <c r="AF501" s="70"/>
      <c r="AG501" s="70">
        <v>30</v>
      </c>
      <c r="AH501" s="72" t="s">
        <v>29</v>
      </c>
      <c r="AI501" s="73"/>
      <c r="AJ501" s="74" t="s">
        <v>26</v>
      </c>
      <c r="AK501" s="57"/>
      <c r="AL501" s="49">
        <f>AB519+AL498+AL499-AL500-AE519-AF519</f>
        <v>2858</v>
      </c>
      <c r="AO501" s="102">
        <f t="shared" ref="AO501:AT501" si="88">SUM(AO481:AO500)</f>
        <v>1472</v>
      </c>
      <c r="AP501" s="103">
        <f t="shared" si="88"/>
        <v>1151</v>
      </c>
      <c r="AQ501" s="104">
        <f t="shared" si="88"/>
        <v>68</v>
      </c>
      <c r="AR501" s="105">
        <f t="shared" si="88"/>
        <v>3399</v>
      </c>
      <c r="AS501" s="106">
        <f t="shared" si="88"/>
        <v>307.4</v>
      </c>
      <c r="AT501" s="107">
        <f t="shared" si="88"/>
        <v>876</v>
      </c>
      <c r="AU501" s="108" t="s">
        <v>54</v>
      </c>
      <c r="AV501" s="109"/>
      <c r="BB501" s="96"/>
      <c r="BC501" s="97"/>
      <c r="BD501" s="98"/>
      <c r="BE501" s="99"/>
      <c r="BF501" s="98"/>
      <c r="BG501" s="98"/>
      <c r="BH501" s="72"/>
      <c r="BI501" s="73"/>
    </row>
    <row r="502" spans="2:64">
      <c r="B502" s="59"/>
      <c r="C502" s="60"/>
      <c r="D502" s="61"/>
      <c r="E502" s="62"/>
      <c r="F502" s="61"/>
      <c r="G502" s="61"/>
      <c r="H502" s="75"/>
      <c r="I502" s="76"/>
      <c r="O502" s="59"/>
      <c r="Q502" s="61"/>
      <c r="R502" s="62">
        <v>378</v>
      </c>
      <c r="S502" s="61">
        <v>37.8</v>
      </c>
      <c r="T502" s="61">
        <v>180</v>
      </c>
      <c r="U502" s="75" t="s">
        <v>173</v>
      </c>
      <c r="V502" s="76"/>
      <c r="W502" s="77"/>
      <c r="X502" s="82" t="s">
        <v>37</v>
      </c>
      <c r="Y502" s="83">
        <f>Y497/8</f>
        <v>50.90625</v>
      </c>
      <c r="AB502" s="59"/>
      <c r="AC502" s="60"/>
      <c r="AD502" s="61"/>
      <c r="AE502" s="62">
        <v>450</v>
      </c>
      <c r="AF502" s="61">
        <v>67.5</v>
      </c>
      <c r="AG502" s="61"/>
      <c r="AH502" s="75"/>
      <c r="AI502" s="76"/>
      <c r="AJ502" s="77"/>
      <c r="AK502" s="78" t="s">
        <v>30</v>
      </c>
      <c r="AL502" s="79">
        <f>AL499/4</f>
        <v>102.8625</v>
      </c>
      <c r="BB502" s="59"/>
      <c r="BC502" s="60"/>
      <c r="BD502" s="61"/>
      <c r="BE502" s="62"/>
      <c r="BF502" s="61"/>
      <c r="BG502" s="61"/>
      <c r="BH502" s="75"/>
      <c r="BI502" s="76"/>
    </row>
    <row r="503" ht="15.75" spans="2:64">
      <c r="B503" s="96"/>
      <c r="C503" s="97"/>
      <c r="D503" s="98"/>
      <c r="E503" s="99"/>
      <c r="F503" s="98"/>
      <c r="G503" s="98"/>
      <c r="H503" s="72"/>
      <c r="I503" s="73"/>
      <c r="O503" s="69"/>
      <c r="P503" s="60">
        <v>568</v>
      </c>
      <c r="Q503" s="85">
        <v>52</v>
      </c>
      <c r="R503" s="70"/>
      <c r="S503" s="70"/>
      <c r="T503" s="70"/>
      <c r="U503" s="72"/>
      <c r="V503" s="73"/>
      <c r="W503" s="86"/>
      <c r="X503" s="77"/>
      <c r="Y503" s="87"/>
      <c r="AB503" s="69"/>
      <c r="AC503" s="70"/>
      <c r="AD503" s="71"/>
      <c r="AE503" s="70">
        <v>157</v>
      </c>
      <c r="AF503" s="70"/>
      <c r="AG503" s="70"/>
      <c r="AH503" s="72"/>
      <c r="AI503" s="73"/>
      <c r="AJ503" s="77"/>
      <c r="AK503" s="80" t="s">
        <v>34</v>
      </c>
      <c r="AL503" s="81">
        <f>AL499/6</f>
        <v>68.575</v>
      </c>
      <c r="BB503" s="96"/>
      <c r="BC503" s="97"/>
      <c r="BD503" s="98"/>
      <c r="BE503" s="99"/>
      <c r="BF503" s="98"/>
      <c r="BG503" s="98"/>
      <c r="BH503" s="72"/>
      <c r="BI503" s="73"/>
    </row>
    <row r="504" spans="2:64">
      <c r="B504" s="59"/>
      <c r="C504" s="60"/>
      <c r="D504" s="61"/>
      <c r="E504" s="62"/>
      <c r="F504" s="61"/>
      <c r="G504" s="61"/>
      <c r="H504" s="75"/>
      <c r="I504" s="76"/>
      <c r="O504" s="59"/>
      <c r="P504" s="60"/>
      <c r="Q504" s="61"/>
      <c r="R504" s="62">
        <v>621</v>
      </c>
      <c r="S504" s="61">
        <v>62.1</v>
      </c>
      <c r="T504" s="61"/>
      <c r="U504" s="75"/>
      <c r="V504" s="76"/>
      <c r="W504" s="77"/>
      <c r="X504" s="58"/>
      <c r="Y504" s="58"/>
      <c r="AB504" s="59"/>
      <c r="AC504" s="60"/>
      <c r="AD504" s="61"/>
      <c r="AE504" s="62">
        <v>425</v>
      </c>
      <c r="AF504" s="61">
        <v>42.5</v>
      </c>
      <c r="AG504" s="61"/>
      <c r="AH504" s="75"/>
      <c r="AI504" s="76"/>
      <c r="AJ504" s="77"/>
      <c r="AK504" s="82" t="s">
        <v>37</v>
      </c>
      <c r="AL504" s="83">
        <f>AL499/8</f>
        <v>51.43125</v>
      </c>
      <c r="AO504" s="33" t="s">
        <v>277</v>
      </c>
      <c r="AP504" s="34"/>
      <c r="AQ504" s="34"/>
      <c r="AR504" s="34"/>
      <c r="AS504" s="34"/>
      <c r="AT504" s="34"/>
      <c r="AU504" s="34"/>
      <c r="AV504" s="34"/>
      <c r="AW504" s="34"/>
      <c r="AX504" s="34"/>
      <c r="AY504" s="35"/>
      <c r="BB504" s="59"/>
      <c r="BC504" s="60"/>
      <c r="BD504" s="61"/>
      <c r="BE504" s="62"/>
      <c r="BF504" s="61"/>
      <c r="BG504" s="61"/>
      <c r="BH504" s="75"/>
      <c r="BI504" s="76"/>
    </row>
    <row r="505" ht="15.75" spans="2:64">
      <c r="B505" s="59"/>
      <c r="C505" s="60"/>
      <c r="D505" s="61"/>
      <c r="E505" s="62"/>
      <c r="F505" s="61"/>
      <c r="G505" s="61"/>
      <c r="H505" s="75"/>
      <c r="I505" s="76"/>
      <c r="O505" s="69"/>
      <c r="P505" s="70"/>
      <c r="Q505" s="71"/>
      <c r="R505" s="70">
        <v>340</v>
      </c>
      <c r="S505" s="70">
        <v>34</v>
      </c>
      <c r="T505" s="70"/>
      <c r="U505" s="72"/>
      <c r="V505" s="73"/>
      <c r="W505" s="77"/>
      <c r="X505" s="58"/>
      <c r="Y505" s="58"/>
      <c r="AB505" s="69"/>
      <c r="AC505" s="70"/>
      <c r="AD505" s="85"/>
      <c r="AE505" s="70">
        <v>531</v>
      </c>
      <c r="AF505" s="70">
        <v>79.65</v>
      </c>
      <c r="AG505" s="70"/>
      <c r="AH505" s="72"/>
      <c r="AI505" s="73"/>
      <c r="AJ505" s="86"/>
      <c r="AK505" s="77"/>
      <c r="AL505" s="87"/>
      <c r="AO505" s="36"/>
      <c r="AP505" s="37"/>
      <c r="AQ505" s="37"/>
      <c r="AR505" s="37"/>
      <c r="AS505" s="37"/>
      <c r="AT505" s="37"/>
      <c r="AU505" s="37"/>
      <c r="AV505" s="37"/>
      <c r="AW505" s="37"/>
      <c r="AX505" s="37"/>
      <c r="AY505" s="38"/>
      <c r="BB505" s="96"/>
      <c r="BC505" s="97"/>
      <c r="BD505" s="98"/>
      <c r="BE505" s="99"/>
      <c r="BF505" s="98"/>
      <c r="BG505" s="98"/>
      <c r="BH505" s="72"/>
      <c r="BI505" s="73"/>
    </row>
    <row r="506" ht="15.75" spans="2:64">
      <c r="B506" s="69"/>
      <c r="C506" s="112"/>
      <c r="D506" s="71"/>
      <c r="E506" s="58"/>
      <c r="F506" s="70"/>
      <c r="G506" s="70"/>
      <c r="H506" s="72"/>
      <c r="I506" s="73"/>
      <c r="O506" s="59"/>
      <c r="P506" s="60">
        <v>30</v>
      </c>
      <c r="Q506" s="88"/>
      <c r="R506" s="62"/>
      <c r="S506" s="61"/>
      <c r="T506" s="61"/>
      <c r="U506" s="75"/>
      <c r="V506" s="76"/>
      <c r="W506" s="77"/>
      <c r="X506" s="58"/>
      <c r="Y506" s="58"/>
      <c r="AB506" s="59"/>
      <c r="AC506" s="60"/>
      <c r="AD506" s="61"/>
      <c r="AE506" s="62">
        <v>420</v>
      </c>
      <c r="AF506" s="61">
        <v>42</v>
      </c>
      <c r="AG506" s="61"/>
      <c r="AH506" s="75"/>
      <c r="AI506" s="76"/>
      <c r="AJ506" s="77"/>
      <c r="AK506" s="58"/>
      <c r="AL506" s="58"/>
      <c r="AO506" s="39" t="s">
        <v>12</v>
      </c>
      <c r="AP506" s="40" t="s">
        <v>13</v>
      </c>
      <c r="AQ506" s="41"/>
      <c r="AR506" s="42" t="s">
        <v>14</v>
      </c>
      <c r="AS506" s="43"/>
      <c r="AT506" s="44" t="s">
        <v>15</v>
      </c>
      <c r="AU506" s="45"/>
      <c r="AV506" s="46"/>
      <c r="AW506" s="47" t="s">
        <v>16</v>
      </c>
      <c r="AX506" s="48"/>
      <c r="AY506" s="49">
        <f>AP534+AR534</f>
        <v>7744</v>
      </c>
      <c r="BB506" s="102">
        <f t="shared" ref="BB506:BG506" si="89">SUM(BB486:BB505)</f>
        <v>673</v>
      </c>
      <c r="BC506" s="103">
        <f t="shared" si="89"/>
        <v>465</v>
      </c>
      <c r="BD506" s="104">
        <f t="shared" si="89"/>
        <v>98</v>
      </c>
      <c r="BE506" s="105">
        <f t="shared" si="89"/>
        <v>2430</v>
      </c>
      <c r="BF506" s="106">
        <f t="shared" si="89"/>
        <v>96.6</v>
      </c>
      <c r="BG506" s="107">
        <f t="shared" si="89"/>
        <v>964</v>
      </c>
      <c r="BH506" s="108" t="s">
        <v>54</v>
      </c>
      <c r="BI506" s="109"/>
    </row>
    <row r="507" ht="15.75" spans="2:64">
      <c r="B507" s="102">
        <f t="shared" ref="B507:G507" si="90">SUM(B482:B506)</f>
        <v>3772</v>
      </c>
      <c r="C507" s="103">
        <f t="shared" si="90"/>
        <v>2027</v>
      </c>
      <c r="D507" s="104">
        <f t="shared" si="90"/>
        <v>160</v>
      </c>
      <c r="E507" s="105">
        <f t="shared" si="90"/>
        <v>1195</v>
      </c>
      <c r="F507" s="106">
        <f t="shared" si="90"/>
        <v>103.8</v>
      </c>
      <c r="G507" s="107">
        <f t="shared" si="90"/>
        <v>3840</v>
      </c>
      <c r="H507" s="108" t="s">
        <v>54</v>
      </c>
      <c r="I507" s="109"/>
      <c r="O507" s="69"/>
      <c r="P507" s="70">
        <v>557</v>
      </c>
      <c r="Q507" s="71">
        <v>43</v>
      </c>
      <c r="R507" s="70"/>
      <c r="S507" s="70"/>
      <c r="T507" s="70"/>
      <c r="U507" s="72"/>
      <c r="V507" s="73"/>
      <c r="W507" s="89" t="s">
        <v>44</v>
      </c>
      <c r="X507" s="90" t="s">
        <v>45</v>
      </c>
      <c r="Y507" s="90" t="s">
        <v>46</v>
      </c>
      <c r="AB507" s="69"/>
      <c r="AC507" s="70"/>
      <c r="AD507" s="71"/>
      <c r="AE507" s="70">
        <v>258</v>
      </c>
      <c r="AF507" s="70"/>
      <c r="AG507" s="70"/>
      <c r="AH507" s="72"/>
      <c r="AI507" s="73"/>
      <c r="AJ507" s="77"/>
      <c r="AK507" s="58"/>
      <c r="AL507" s="58"/>
      <c r="AO507" s="50"/>
      <c r="AP507" s="51" t="s">
        <v>17</v>
      </c>
      <c r="AQ507" s="51" t="s">
        <v>18</v>
      </c>
      <c r="AR507" s="52" t="s">
        <v>17</v>
      </c>
      <c r="AS507" s="52" t="s">
        <v>18</v>
      </c>
      <c r="AT507" s="53"/>
      <c r="AU507" s="54"/>
      <c r="AV507" s="55"/>
      <c r="AW507" s="56" t="s">
        <v>19</v>
      </c>
      <c r="AX507" s="57"/>
      <c r="AY507" s="49">
        <f>AQ534+AS534</f>
        <v>585.1</v>
      </c>
    </row>
    <row r="508" ht="15.75" spans="2:64">
      <c r="O508" s="59"/>
      <c r="P508" s="60">
        <v>274</v>
      </c>
      <c r="Q508" s="61">
        <v>20</v>
      </c>
      <c r="R508" s="62"/>
      <c r="S508" s="61"/>
      <c r="T508" s="61"/>
      <c r="U508" s="75"/>
      <c r="V508" s="76"/>
      <c r="W508" s="92" t="s">
        <v>47</v>
      </c>
      <c r="X508" s="93" t="s">
        <v>48</v>
      </c>
      <c r="Y508" s="93" t="s">
        <v>122</v>
      </c>
      <c r="AB508" s="59"/>
      <c r="AC508" s="60"/>
      <c r="AD508" s="88"/>
      <c r="AE508" s="62">
        <v>340</v>
      </c>
      <c r="AF508" s="61">
        <v>34</v>
      </c>
      <c r="AG508" s="61"/>
      <c r="AH508" s="75"/>
      <c r="AI508" s="76"/>
      <c r="AJ508" s="77"/>
      <c r="AK508" s="58"/>
      <c r="AL508" s="58"/>
      <c r="AO508" s="59">
        <v>560</v>
      </c>
      <c r="AP508" s="68">
        <v>654</v>
      </c>
      <c r="AQ508" s="61">
        <v>50</v>
      </c>
      <c r="AR508" s="62"/>
      <c r="AS508" s="61"/>
      <c r="AT508" s="61">
        <v>78.5</v>
      </c>
      <c r="AU508" s="63" t="s">
        <v>28</v>
      </c>
      <c r="AV508" s="64"/>
      <c r="AW508" s="65" t="s">
        <v>21</v>
      </c>
      <c r="AX508" s="66"/>
      <c r="AY508" s="67">
        <f>AT534</f>
        <v>378.5</v>
      </c>
    </row>
    <row r="509" ht="15.75" spans="2:64">
      <c r="O509" s="69"/>
      <c r="P509" s="70"/>
      <c r="Q509" s="71"/>
      <c r="R509" s="70">
        <v>137</v>
      </c>
      <c r="S509" s="70"/>
      <c r="T509" s="70"/>
      <c r="U509" s="72"/>
      <c r="V509" s="73"/>
      <c r="W509" s="94" t="s">
        <v>52</v>
      </c>
      <c r="X509" s="95" t="s">
        <v>27</v>
      </c>
      <c r="Y509" s="95" t="s">
        <v>43</v>
      </c>
      <c r="AB509" s="69"/>
      <c r="AC509" s="70">
        <v>142</v>
      </c>
      <c r="AD509" s="71"/>
      <c r="AE509" s="70"/>
      <c r="AF509" s="70"/>
      <c r="AG509" s="70"/>
      <c r="AH509" s="72"/>
      <c r="AI509" s="73"/>
      <c r="AJ509" s="89" t="s">
        <v>44</v>
      </c>
      <c r="AK509" s="90" t="s">
        <v>45</v>
      </c>
      <c r="AL509" s="90" t="s">
        <v>46</v>
      </c>
      <c r="AO509" s="69"/>
      <c r="AP509" s="70">
        <v>45</v>
      </c>
      <c r="AQ509" s="71"/>
      <c r="AR509" s="70"/>
      <c r="AS509" s="70"/>
      <c r="AT509" s="70">
        <v>300</v>
      </c>
      <c r="AU509" s="72" t="s">
        <v>143</v>
      </c>
      <c r="AV509" s="73"/>
      <c r="AW509" s="74" t="s">
        <v>26</v>
      </c>
      <c r="AX509" s="57"/>
      <c r="AY509" s="49">
        <f>AO534+AY506+AY507-AY508-AR534-AS534</f>
        <v>4991.5</v>
      </c>
    </row>
    <row r="510" ht="15.75" spans="2:64">
      <c r="B510" s="33" t="s">
        <v>278</v>
      </c>
      <c r="C510" s="34"/>
      <c r="D510" s="34"/>
      <c r="E510" s="34"/>
      <c r="F510" s="34"/>
      <c r="G510" s="34"/>
      <c r="H510" s="34"/>
      <c r="I510" s="34"/>
      <c r="J510" s="34"/>
      <c r="K510" s="34"/>
      <c r="L510" s="35"/>
      <c r="O510" s="59"/>
      <c r="P510" s="60"/>
      <c r="Q510" s="61">
        <v>30</v>
      </c>
      <c r="R510" s="62">
        <v>281</v>
      </c>
      <c r="S510" s="61"/>
      <c r="T510" s="61"/>
      <c r="U510" s="75"/>
      <c r="V510" s="76"/>
      <c r="W510" s="77"/>
      <c r="X510" s="77"/>
      <c r="Y510" s="87"/>
      <c r="AB510" s="59"/>
      <c r="AC510" s="60">
        <v>8</v>
      </c>
      <c r="AD510" s="61"/>
      <c r="AE510" s="62"/>
      <c r="AF510" s="61"/>
      <c r="AG510" s="61"/>
      <c r="AH510" s="75"/>
      <c r="AI510" s="76"/>
      <c r="AJ510" s="92" t="s">
        <v>47</v>
      </c>
      <c r="AK510" s="93" t="s">
        <v>48</v>
      </c>
      <c r="AL510" s="93" t="s">
        <v>65</v>
      </c>
      <c r="AO510" s="59"/>
      <c r="AP510" s="60">
        <v>60</v>
      </c>
      <c r="AQ510" s="61"/>
      <c r="AR510" s="62"/>
      <c r="AS510" s="61"/>
      <c r="AT510" s="61"/>
      <c r="AU510" s="75"/>
      <c r="AV510" s="76"/>
      <c r="AW510" s="77"/>
      <c r="AX510" s="78" t="s">
        <v>30</v>
      </c>
      <c r="AY510" s="79">
        <f>AY507/4</f>
        <v>146.275</v>
      </c>
    </row>
    <row r="511" ht="15.75" spans="2:64">
      <c r="B511" s="36"/>
      <c r="C511" s="37"/>
      <c r="D511" s="37"/>
      <c r="E511" s="37"/>
      <c r="F511" s="37"/>
      <c r="G511" s="37"/>
      <c r="H511" s="37"/>
      <c r="I511" s="37"/>
      <c r="J511" s="37"/>
      <c r="K511" s="37"/>
      <c r="L511" s="38"/>
      <c r="O511" s="69"/>
      <c r="P511" s="70"/>
      <c r="Q511" s="71"/>
      <c r="R511" s="70">
        <v>333</v>
      </c>
      <c r="S511" s="70">
        <v>33</v>
      </c>
      <c r="T511" s="70"/>
      <c r="U511" s="72"/>
      <c r="V511" s="73"/>
      <c r="W511" s="58"/>
      <c r="X511" s="58"/>
      <c r="Y511" s="58"/>
      <c r="AB511" s="69"/>
      <c r="AC511" s="70"/>
      <c r="AD511" s="71"/>
      <c r="AE511" s="70">
        <v>580</v>
      </c>
      <c r="AF511" s="70">
        <v>29</v>
      </c>
      <c r="AG511" s="70"/>
      <c r="AH511" s="72"/>
      <c r="AI511" s="73"/>
      <c r="AJ511" s="94" t="s">
        <v>52</v>
      </c>
      <c r="AK511" s="95" t="s">
        <v>27</v>
      </c>
      <c r="AL511" s="95" t="s">
        <v>43</v>
      </c>
      <c r="AO511" s="69"/>
      <c r="AP511" s="70">
        <v>108</v>
      </c>
      <c r="AQ511" s="71">
        <v>20</v>
      </c>
      <c r="AR511" s="70"/>
      <c r="AS511" s="70"/>
      <c r="AT511" s="70"/>
      <c r="AU511" s="72"/>
      <c r="AV511" s="73"/>
      <c r="AW511" s="77"/>
      <c r="AX511" s="80" t="s">
        <v>34</v>
      </c>
      <c r="AY511" s="81">
        <f>AY507/6</f>
        <v>97.5166666666667</v>
      </c>
      <c r="BB511" s="33" t="s">
        <v>279</v>
      </c>
      <c r="BC511" s="34"/>
      <c r="BD511" s="34"/>
      <c r="BE511" s="34"/>
      <c r="BF511" s="34"/>
      <c r="BG511" s="34"/>
      <c r="BH511" s="34"/>
      <c r="BI511" s="34"/>
      <c r="BJ511" s="34"/>
      <c r="BK511" s="34"/>
      <c r="BL511" s="35"/>
    </row>
    <row r="512" ht="15.75" spans="2:64">
      <c r="B512" s="39" t="s">
        <v>12</v>
      </c>
      <c r="C512" s="40" t="s">
        <v>13</v>
      </c>
      <c r="D512" s="41"/>
      <c r="E512" s="42" t="s">
        <v>14</v>
      </c>
      <c r="F512" s="43"/>
      <c r="G512" s="44" t="s">
        <v>15</v>
      </c>
      <c r="H512" s="45"/>
      <c r="I512" s="46"/>
      <c r="J512" s="47" t="s">
        <v>16</v>
      </c>
      <c r="K512" s="48"/>
      <c r="L512" s="49">
        <f>C539+E539</f>
        <v>3552</v>
      </c>
      <c r="O512" s="59"/>
      <c r="P512" s="60"/>
      <c r="Q512" s="61"/>
      <c r="R512" s="62"/>
      <c r="S512" s="61"/>
      <c r="T512" s="61"/>
      <c r="U512" s="75"/>
      <c r="V512" s="76"/>
      <c r="W512" s="58"/>
      <c r="X512" s="58"/>
      <c r="Y512" s="58"/>
      <c r="AB512" s="59"/>
      <c r="AC512" s="60">
        <v>290</v>
      </c>
      <c r="AD512" s="61">
        <v>20</v>
      </c>
      <c r="AE512" s="62"/>
      <c r="AF512" s="61"/>
      <c r="AG512" s="61"/>
      <c r="AH512" s="75"/>
      <c r="AI512" s="76"/>
      <c r="AJ512" s="77"/>
      <c r="AK512" s="77"/>
      <c r="AL512" s="87"/>
      <c r="AO512" s="59"/>
      <c r="AP512" s="60">
        <v>20</v>
      </c>
      <c r="AQ512" s="61"/>
      <c r="AR512" s="62"/>
      <c r="AS512" s="61"/>
      <c r="AT512" s="61"/>
      <c r="AU512" s="75"/>
      <c r="AV512" s="84"/>
      <c r="AW512" s="77"/>
      <c r="AX512" s="82" t="s">
        <v>37</v>
      </c>
      <c r="AY512" s="83">
        <f>AY507/8</f>
        <v>73.1375</v>
      </c>
      <c r="BB512" s="36"/>
      <c r="BC512" s="37"/>
      <c r="BD512" s="37"/>
      <c r="BE512" s="37"/>
      <c r="BF512" s="37"/>
      <c r="BG512" s="37"/>
      <c r="BH512" s="37"/>
      <c r="BI512" s="37"/>
      <c r="BJ512" s="37"/>
      <c r="BK512" s="37"/>
      <c r="BL512" s="38"/>
    </row>
    <row r="513" ht="15.75" spans="2:64">
      <c r="B513" s="50"/>
      <c r="C513" s="51" t="s">
        <v>17</v>
      </c>
      <c r="D513" s="51" t="s">
        <v>18</v>
      </c>
      <c r="E513" s="52" t="s">
        <v>17</v>
      </c>
      <c r="F513" s="52" t="s">
        <v>18</v>
      </c>
      <c r="G513" s="53"/>
      <c r="H513" s="54"/>
      <c r="I513" s="55"/>
      <c r="J513" s="56" t="s">
        <v>19</v>
      </c>
      <c r="K513" s="57"/>
      <c r="L513" s="49">
        <f>D539+F539</f>
        <v>317.3</v>
      </c>
      <c r="O513" s="69"/>
      <c r="P513" s="71"/>
      <c r="Q513" s="71"/>
      <c r="R513" s="70"/>
      <c r="S513" s="70"/>
      <c r="T513" s="70"/>
      <c r="U513" s="72"/>
      <c r="V513" s="73"/>
      <c r="W513" s="58"/>
      <c r="X513" s="58"/>
      <c r="Y513" s="58"/>
      <c r="AB513" s="69"/>
      <c r="AC513" s="70"/>
      <c r="AD513" s="71"/>
      <c r="AE513" s="70">
        <v>235</v>
      </c>
      <c r="AF513" s="70">
        <v>47</v>
      </c>
      <c r="AG513" s="70"/>
      <c r="AH513" s="72"/>
      <c r="AI513" s="73"/>
      <c r="AJ513" s="58"/>
      <c r="AK513" s="58"/>
      <c r="AL513" s="58"/>
      <c r="AO513" s="69"/>
      <c r="AP513" s="70">
        <v>493</v>
      </c>
      <c r="AQ513" s="85">
        <v>30</v>
      </c>
      <c r="AR513" s="70"/>
      <c r="AS513" s="70"/>
      <c r="AT513" s="70"/>
      <c r="AU513" s="72"/>
      <c r="AV513" s="73"/>
      <c r="AW513" s="86"/>
      <c r="AX513" s="77"/>
      <c r="AY513" s="87"/>
      <c r="BB513" s="39" t="s">
        <v>12</v>
      </c>
      <c r="BC513" s="40" t="s">
        <v>13</v>
      </c>
      <c r="BD513" s="41"/>
      <c r="BE513" s="42" t="s">
        <v>14</v>
      </c>
      <c r="BF513" s="43"/>
      <c r="BG513" s="44" t="s">
        <v>15</v>
      </c>
      <c r="BH513" s="45"/>
      <c r="BI513" s="46"/>
      <c r="BJ513" s="47" t="s">
        <v>16</v>
      </c>
      <c r="BK513" s="48"/>
      <c r="BL513" s="49">
        <f>BC535+BE535</f>
        <v>2374</v>
      </c>
    </row>
    <row r="514" ht="15.75" spans="2:64">
      <c r="B514" s="59">
        <v>2119</v>
      </c>
      <c r="C514" s="60"/>
      <c r="D514" s="61"/>
      <c r="E514" s="62">
        <v>274</v>
      </c>
      <c r="F514" s="61">
        <v>27.4</v>
      </c>
      <c r="G514" s="61">
        <v>500</v>
      </c>
      <c r="H514" s="63" t="s">
        <v>66</v>
      </c>
      <c r="I514" s="64"/>
      <c r="J514" s="65" t="s">
        <v>21</v>
      </c>
      <c r="K514" s="66"/>
      <c r="L514" s="67">
        <f>G539</f>
        <v>1163</v>
      </c>
      <c r="O514" s="59"/>
      <c r="P514" s="60"/>
      <c r="Q514" s="61"/>
      <c r="R514" s="62"/>
      <c r="S514" s="61"/>
      <c r="T514" s="61"/>
      <c r="U514" s="75"/>
      <c r="V514" s="76"/>
      <c r="AB514" s="59"/>
      <c r="AC514" s="60">
        <v>523</v>
      </c>
      <c r="AD514" s="61"/>
      <c r="AE514" s="62"/>
      <c r="AF514" s="61"/>
      <c r="AG514" s="61"/>
      <c r="AH514" s="75"/>
      <c r="AI514" s="76"/>
      <c r="AJ514" s="58"/>
      <c r="AK514" s="58"/>
      <c r="AL514" s="58"/>
      <c r="AO514" s="59"/>
      <c r="AP514" s="60">
        <v>75</v>
      </c>
      <c r="AQ514" s="61"/>
      <c r="AR514" s="62"/>
      <c r="AS514" s="61"/>
      <c r="AT514" s="61"/>
      <c r="AU514" s="75"/>
      <c r="AV514" s="84"/>
      <c r="AW514" s="77"/>
      <c r="AX514" s="58"/>
      <c r="AY514" s="58"/>
      <c r="BB514" s="50"/>
      <c r="BC514" s="51" t="s">
        <v>17</v>
      </c>
      <c r="BD514" s="51" t="s">
        <v>18</v>
      </c>
      <c r="BE514" s="52" t="s">
        <v>17</v>
      </c>
      <c r="BF514" s="52" t="s">
        <v>18</v>
      </c>
      <c r="BG514" s="53"/>
      <c r="BH514" s="54"/>
      <c r="BI514" s="55"/>
      <c r="BJ514" s="56" t="s">
        <v>19</v>
      </c>
      <c r="BK514" s="57"/>
      <c r="BL514" s="49">
        <f>BD535+BF535</f>
        <v>176.8</v>
      </c>
    </row>
    <row r="515" ht="15.75" spans="2:64">
      <c r="B515" s="69"/>
      <c r="C515" s="70"/>
      <c r="D515" s="71"/>
      <c r="E515" s="70">
        <v>170</v>
      </c>
      <c r="F515" s="70"/>
      <c r="G515" s="70">
        <v>30</v>
      </c>
      <c r="H515" s="72" t="s">
        <v>29</v>
      </c>
      <c r="I515" s="73"/>
      <c r="J515" s="74" t="s">
        <v>26</v>
      </c>
      <c r="K515" s="57"/>
      <c r="L515" s="49">
        <f>B539+L512+L513-L514-E539-F539</f>
        <v>2235</v>
      </c>
      <c r="O515" s="96"/>
      <c r="P515" s="97"/>
      <c r="Q515" s="98"/>
      <c r="R515" s="99"/>
      <c r="S515" s="98"/>
      <c r="T515" s="98"/>
      <c r="U515" s="72"/>
      <c r="V515" s="73"/>
      <c r="AB515" s="69"/>
      <c r="AC515" s="71"/>
      <c r="AD515" s="71"/>
      <c r="AE515" s="70"/>
      <c r="AF515" s="70"/>
      <c r="AG515" s="70"/>
      <c r="AH515" s="72"/>
      <c r="AI515" s="73"/>
      <c r="AJ515" s="58"/>
      <c r="AK515" s="58"/>
      <c r="AL515" s="58"/>
      <c r="AO515" s="69"/>
      <c r="AP515" s="70"/>
      <c r="AQ515" s="85"/>
      <c r="AR515" s="70">
        <v>137</v>
      </c>
      <c r="AS515" s="70">
        <v>13.7</v>
      </c>
      <c r="AT515" s="70"/>
      <c r="AU515" s="72"/>
      <c r="AV515" s="73"/>
      <c r="AW515" s="77"/>
      <c r="AX515" s="58"/>
      <c r="AY515" s="58"/>
      <c r="BB515" s="59">
        <v>542</v>
      </c>
      <c r="BC515" s="68">
        <v>142</v>
      </c>
      <c r="BD515" s="61"/>
      <c r="BE515" s="62"/>
      <c r="BF515" s="61"/>
      <c r="BG515" s="61">
        <v>30</v>
      </c>
      <c r="BH515" s="63" t="s">
        <v>29</v>
      </c>
      <c r="BI515" s="64"/>
      <c r="BJ515" s="65" t="s">
        <v>21</v>
      </c>
      <c r="BK515" s="66"/>
      <c r="BL515" s="67">
        <f>BG535</f>
        <v>30</v>
      </c>
    </row>
    <row r="516" ht="15.75" spans="2:64">
      <c r="B516" s="59"/>
      <c r="C516" s="60">
        <v>327</v>
      </c>
      <c r="D516" s="61"/>
      <c r="E516" s="62"/>
      <c r="F516" s="61"/>
      <c r="G516" s="61">
        <v>633</v>
      </c>
      <c r="H516" s="75" t="s">
        <v>39</v>
      </c>
      <c r="I516" s="76"/>
      <c r="J516" s="77"/>
      <c r="K516" s="78" t="s">
        <v>30</v>
      </c>
      <c r="L516" s="79">
        <f>L513/4</f>
        <v>79.325</v>
      </c>
      <c r="O516" s="59"/>
      <c r="P516" s="60"/>
      <c r="Q516" s="61"/>
      <c r="R516" s="62"/>
      <c r="S516" s="61"/>
      <c r="T516" s="61"/>
      <c r="U516" s="75"/>
      <c r="V516" s="76"/>
      <c r="AB516" s="59"/>
      <c r="AC516" s="60"/>
      <c r="AD516" s="61"/>
      <c r="AE516" s="62"/>
      <c r="AF516" s="61"/>
      <c r="AG516" s="61"/>
      <c r="AH516" s="75"/>
      <c r="AI516" s="76"/>
      <c r="AO516" s="59"/>
      <c r="AP516" s="60"/>
      <c r="AQ516" s="61"/>
      <c r="AR516" s="62">
        <v>508</v>
      </c>
      <c r="AS516" s="61">
        <v>50.8</v>
      </c>
      <c r="AT516" s="61"/>
      <c r="AU516" s="75"/>
      <c r="AV516" s="84"/>
      <c r="AW516" s="77"/>
      <c r="AX516" s="58"/>
      <c r="AY516" s="58"/>
      <c r="BB516" s="69"/>
      <c r="BC516" s="70">
        <v>154</v>
      </c>
      <c r="BD516" s="71"/>
      <c r="BE516" s="70"/>
      <c r="BF516" s="70"/>
      <c r="BG516" s="70"/>
      <c r="BH516" s="72"/>
      <c r="BI516" s="73"/>
      <c r="BJ516" s="74" t="s">
        <v>26</v>
      </c>
      <c r="BK516" s="57"/>
      <c r="BL516" s="49">
        <f>BB535+BL513+BL514-BL515-BE535-BF535</f>
        <v>2042</v>
      </c>
    </row>
    <row r="517" ht="15.75" spans="2:64">
      <c r="B517" s="69"/>
      <c r="C517" s="70"/>
      <c r="D517" s="71">
        <v>40</v>
      </c>
      <c r="E517" s="70">
        <v>431</v>
      </c>
      <c r="F517" s="70"/>
      <c r="G517" s="70"/>
      <c r="H517" s="72"/>
      <c r="I517" s="73"/>
      <c r="J517" s="77"/>
      <c r="K517" s="80" t="s">
        <v>34</v>
      </c>
      <c r="L517" s="81">
        <f>L513/6</f>
        <v>52.8833333333333</v>
      </c>
      <c r="O517" s="96"/>
      <c r="P517" s="97"/>
      <c r="Q517" s="98"/>
      <c r="R517" s="99"/>
      <c r="S517" s="98"/>
      <c r="T517" s="98"/>
      <c r="U517" s="100"/>
      <c r="V517" s="101"/>
      <c r="AB517" s="69"/>
      <c r="AC517" s="70"/>
      <c r="AD517" s="71"/>
      <c r="AE517" s="70"/>
      <c r="AF517" s="70"/>
      <c r="AG517" s="70"/>
      <c r="AH517" s="72"/>
      <c r="AI517" s="73"/>
      <c r="AO517" s="69"/>
      <c r="AP517" s="70">
        <v>176</v>
      </c>
      <c r="AQ517" s="85"/>
      <c r="AR517" s="70"/>
      <c r="AS517" s="70"/>
      <c r="AT517" s="70"/>
      <c r="AU517" s="72"/>
      <c r="AV517" s="73"/>
      <c r="AW517" s="89" t="s">
        <v>44</v>
      </c>
      <c r="AX517" s="90" t="s">
        <v>45</v>
      </c>
      <c r="AY517" s="90" t="s">
        <v>46</v>
      </c>
      <c r="BB517" s="59"/>
      <c r="BC517" s="60">
        <v>436</v>
      </c>
      <c r="BD517" s="61">
        <v>34</v>
      </c>
      <c r="BE517" s="62"/>
      <c r="BF517" s="61"/>
      <c r="BG517" s="61"/>
      <c r="BH517" s="75"/>
      <c r="BI517" s="76"/>
      <c r="BJ517" s="77"/>
      <c r="BK517" s="78" t="s">
        <v>30</v>
      </c>
      <c r="BL517" s="79">
        <f>BL514/4</f>
        <v>44.2</v>
      </c>
    </row>
    <row r="518" ht="18" customHeight="1" spans="2:64">
      <c r="B518" s="59"/>
      <c r="C518" s="60">
        <v>447</v>
      </c>
      <c r="D518" s="61">
        <v>53</v>
      </c>
      <c r="E518" s="62"/>
      <c r="F518" s="61"/>
      <c r="G518" s="61"/>
      <c r="H518" s="75"/>
      <c r="I518" s="76"/>
      <c r="J518" s="77"/>
      <c r="K518" s="82" t="s">
        <v>37</v>
      </c>
      <c r="L518" s="83">
        <f>L513/8</f>
        <v>39.6625</v>
      </c>
      <c r="O518" s="102">
        <f t="shared" ref="O518:T518" si="91">SUM(O498:O517)</f>
        <v>3085</v>
      </c>
      <c r="P518" s="103">
        <f t="shared" si="91"/>
        <v>1489</v>
      </c>
      <c r="Q518" s="104">
        <f t="shared" si="91"/>
        <v>145</v>
      </c>
      <c r="R518" s="105">
        <f t="shared" si="91"/>
        <v>2975</v>
      </c>
      <c r="S518" s="106">
        <f t="shared" si="91"/>
        <v>262.25</v>
      </c>
      <c r="T518" s="107">
        <f t="shared" si="91"/>
        <v>2940</v>
      </c>
      <c r="U518" s="108" t="s">
        <v>54</v>
      </c>
      <c r="V518" s="109"/>
      <c r="AB518" s="59"/>
      <c r="AC518" s="60"/>
      <c r="AD518" s="61"/>
      <c r="AE518" s="62"/>
      <c r="AF518" s="61"/>
      <c r="AG518" s="61"/>
      <c r="AH518" s="75"/>
      <c r="AI518" s="76"/>
      <c r="AO518" s="59"/>
      <c r="AP518" s="60">
        <v>55</v>
      </c>
      <c r="AQ518" s="61"/>
      <c r="AR518" s="62"/>
      <c r="AS518" s="61"/>
      <c r="AT518" s="61"/>
      <c r="AU518" s="75"/>
      <c r="AV518" s="84"/>
      <c r="AW518" s="92" t="s">
        <v>47</v>
      </c>
      <c r="AX518" s="93" t="s">
        <v>51</v>
      </c>
      <c r="AY518" s="93" t="s">
        <v>43</v>
      </c>
      <c r="BB518" s="69"/>
      <c r="BC518" s="70">
        <v>157</v>
      </c>
      <c r="BD518" s="71"/>
      <c r="BE518" s="70"/>
      <c r="BF518" s="70"/>
      <c r="BG518" s="70"/>
      <c r="BH518" s="72"/>
      <c r="BI518" s="73"/>
      <c r="BJ518" s="77"/>
      <c r="BK518" s="80" t="s">
        <v>34</v>
      </c>
      <c r="BL518" s="81">
        <f>BL514/6</f>
        <v>29.4666666666667</v>
      </c>
    </row>
    <row r="519" ht="15.75" spans="2:64">
      <c r="B519" s="69"/>
      <c r="C519" s="70">
        <v>104</v>
      </c>
      <c r="D519" s="85"/>
      <c r="E519" s="70"/>
      <c r="F519" s="70"/>
      <c r="G519" s="70"/>
      <c r="H519" s="72"/>
      <c r="I519" s="73"/>
      <c r="J519" s="86"/>
      <c r="K519" s="77"/>
      <c r="L519" s="87"/>
      <c r="AB519" s="102">
        <f t="shared" ref="AB519:AG519" si="92">SUM(AB500:AB518)</f>
        <v>1270</v>
      </c>
      <c r="AC519" s="103">
        <f t="shared" si="92"/>
        <v>1849</v>
      </c>
      <c r="AD519" s="104">
        <f t="shared" si="92"/>
        <v>54</v>
      </c>
      <c r="AE519" s="105">
        <f t="shared" si="92"/>
        <v>3712</v>
      </c>
      <c r="AF519" s="106">
        <f t="shared" si="92"/>
        <v>357.45</v>
      </c>
      <c r="AG519" s="107">
        <f t="shared" si="92"/>
        <v>315</v>
      </c>
      <c r="AH519" s="108" t="s">
        <v>54</v>
      </c>
      <c r="AI519" s="109"/>
      <c r="AO519" s="69"/>
      <c r="AP519" s="70"/>
      <c r="AQ519" s="85"/>
      <c r="AR519" s="70">
        <v>1093</v>
      </c>
      <c r="AS519" s="70">
        <v>109.3</v>
      </c>
      <c r="AT519" s="70"/>
      <c r="AU519" s="72"/>
      <c r="AV519" s="73"/>
      <c r="AW519" s="94" t="s">
        <v>52</v>
      </c>
      <c r="AX519" s="95" t="s">
        <v>27</v>
      </c>
      <c r="AY519" s="95" t="s">
        <v>67</v>
      </c>
      <c r="BB519" s="59"/>
      <c r="BC519" s="60">
        <v>152</v>
      </c>
      <c r="BD519" s="61"/>
      <c r="BE519" s="62"/>
      <c r="BF519" s="61"/>
      <c r="BG519" s="61"/>
      <c r="BH519" s="75"/>
      <c r="BI519" s="84"/>
      <c r="BJ519" s="77"/>
      <c r="BK519" s="82" t="s">
        <v>37</v>
      </c>
      <c r="BL519" s="83">
        <f>BL514/8</f>
        <v>22.1</v>
      </c>
    </row>
    <row r="520" ht="15.75" spans="2:64">
      <c r="B520" s="59"/>
      <c r="C520" s="60">
        <v>308</v>
      </c>
      <c r="D520" s="61"/>
      <c r="E520" s="62"/>
      <c r="F520" s="61"/>
      <c r="G520" s="61"/>
      <c r="H520" s="75"/>
      <c r="I520" s="76"/>
      <c r="J520" s="77"/>
      <c r="K520" s="58"/>
      <c r="L520" s="58"/>
      <c r="AO520" s="59"/>
      <c r="AP520" s="60"/>
      <c r="AQ520" s="61"/>
      <c r="AR520" s="62">
        <v>258</v>
      </c>
      <c r="AS520" s="61">
        <v>25.8</v>
      </c>
      <c r="AT520" s="61"/>
      <c r="AU520" s="75"/>
      <c r="AV520" s="84"/>
      <c r="AW520" s="77"/>
      <c r="AX520" s="77"/>
      <c r="AY520" s="87"/>
      <c r="BB520" s="69"/>
      <c r="BC520" s="70">
        <v>405</v>
      </c>
      <c r="BD520" s="85">
        <v>50</v>
      </c>
      <c r="BE520" s="70"/>
      <c r="BF520" s="70"/>
      <c r="BG520" s="70"/>
      <c r="BH520" s="72"/>
      <c r="BI520" s="73"/>
      <c r="BJ520" s="86"/>
      <c r="BK520" s="77"/>
      <c r="BL520" s="87"/>
    </row>
    <row r="521" ht="15.75" spans="2:64">
      <c r="B521" s="69"/>
      <c r="C521" s="70"/>
      <c r="D521" s="71"/>
      <c r="E521" s="70">
        <v>323</v>
      </c>
      <c r="F521" s="70">
        <v>32.3</v>
      </c>
      <c r="G521" s="70"/>
      <c r="H521" s="72"/>
      <c r="I521" s="73"/>
      <c r="J521" s="77"/>
      <c r="K521" s="58"/>
      <c r="L521" s="58"/>
      <c r="O521" s="33" t="s">
        <v>280</v>
      </c>
      <c r="P521" s="34"/>
      <c r="Q521" s="34"/>
      <c r="R521" s="34"/>
      <c r="S521" s="34"/>
      <c r="T521" s="34"/>
      <c r="U521" s="34"/>
      <c r="V521" s="34"/>
      <c r="W521" s="34"/>
      <c r="X521" s="34"/>
      <c r="Y521" s="35"/>
      <c r="AO521" s="69"/>
      <c r="AP521" s="70">
        <v>206</v>
      </c>
      <c r="AQ521" s="85"/>
      <c r="AR521" s="70"/>
      <c r="AS521" s="70"/>
      <c r="AT521" s="70"/>
      <c r="AU521" s="72"/>
      <c r="AV521" s="73"/>
      <c r="AW521" s="58"/>
      <c r="AX521" s="58"/>
      <c r="AY521" s="58"/>
      <c r="BB521" s="59"/>
      <c r="BC521" s="60"/>
      <c r="BD521" s="61"/>
      <c r="BE521" s="62">
        <v>220</v>
      </c>
      <c r="BF521" s="61">
        <v>22</v>
      </c>
      <c r="BG521" s="61"/>
      <c r="BH521" s="75"/>
      <c r="BI521" s="84"/>
      <c r="BJ521" s="77"/>
      <c r="BK521" s="58"/>
      <c r="BL521" s="58"/>
    </row>
    <row r="522" ht="15.75" spans="2:64">
      <c r="B522" s="59"/>
      <c r="C522" s="60"/>
      <c r="D522" s="88"/>
      <c r="E522" s="62">
        <v>258</v>
      </c>
      <c r="F522" s="61">
        <v>38.7</v>
      </c>
      <c r="G522" s="61"/>
      <c r="H522" s="75"/>
      <c r="I522" s="76"/>
      <c r="J522" s="77"/>
      <c r="K522" s="58"/>
      <c r="L522" s="58"/>
      <c r="O522" s="36"/>
      <c r="P522" s="37"/>
      <c r="Q522" s="37"/>
      <c r="R522" s="37"/>
      <c r="S522" s="37"/>
      <c r="T522" s="37"/>
      <c r="U522" s="37"/>
      <c r="V522" s="37"/>
      <c r="W522" s="37"/>
      <c r="X522" s="37"/>
      <c r="Y522" s="38"/>
      <c r="AB522" s="33" t="s">
        <v>281</v>
      </c>
      <c r="AC522" s="34"/>
      <c r="AD522" s="34"/>
      <c r="AE522" s="34"/>
      <c r="AF522" s="34"/>
      <c r="AG522" s="34"/>
      <c r="AH522" s="34"/>
      <c r="AI522" s="34"/>
      <c r="AJ522" s="34"/>
      <c r="AK522" s="34"/>
      <c r="AL522" s="35"/>
      <c r="AO522" s="59"/>
      <c r="AP522" s="60"/>
      <c r="AQ522" s="61"/>
      <c r="AR522" s="62">
        <v>197</v>
      </c>
      <c r="AS522" s="61"/>
      <c r="AT522" s="61"/>
      <c r="AU522" s="75"/>
      <c r="AV522" s="84"/>
      <c r="AW522" s="58"/>
      <c r="AX522" s="58"/>
      <c r="AY522" s="58"/>
      <c r="BB522" s="69"/>
      <c r="BC522" s="70"/>
      <c r="BD522" s="85"/>
      <c r="BE522" s="70">
        <v>708</v>
      </c>
      <c r="BF522" s="70">
        <v>70.8</v>
      </c>
      <c r="BG522" s="70"/>
      <c r="BH522" s="72"/>
      <c r="BI522" s="73"/>
      <c r="BJ522" s="77"/>
      <c r="BK522" s="58"/>
      <c r="BL522" s="58"/>
    </row>
    <row r="523" ht="15.75" spans="2:64">
      <c r="B523" s="69"/>
      <c r="C523" s="70"/>
      <c r="D523" s="71"/>
      <c r="E523" s="70">
        <v>328</v>
      </c>
      <c r="F523" s="70">
        <v>49.2</v>
      </c>
      <c r="G523" s="70"/>
      <c r="H523" s="72"/>
      <c r="I523" s="73"/>
      <c r="J523" s="89" t="s">
        <v>44</v>
      </c>
      <c r="K523" s="90" t="s">
        <v>45</v>
      </c>
      <c r="L523" s="90" t="s">
        <v>46</v>
      </c>
      <c r="O523" s="39" t="s">
        <v>12</v>
      </c>
      <c r="P523" s="40" t="s">
        <v>13</v>
      </c>
      <c r="Q523" s="41"/>
      <c r="R523" s="42" t="s">
        <v>14</v>
      </c>
      <c r="S523" s="43"/>
      <c r="T523" s="44" t="s">
        <v>15</v>
      </c>
      <c r="U523" s="45"/>
      <c r="V523" s="46"/>
      <c r="W523" s="47" t="s">
        <v>16</v>
      </c>
      <c r="X523" s="48"/>
      <c r="Y523" s="49">
        <f>P548+R548</f>
        <v>5878</v>
      </c>
      <c r="AB523" s="36"/>
      <c r="AC523" s="37"/>
      <c r="AD523" s="37"/>
      <c r="AE523" s="37"/>
      <c r="AF523" s="37"/>
      <c r="AG523" s="37"/>
      <c r="AH523" s="37"/>
      <c r="AI523" s="37"/>
      <c r="AJ523" s="37"/>
      <c r="AK523" s="37"/>
      <c r="AL523" s="38"/>
      <c r="AO523" s="69"/>
      <c r="AP523" s="70"/>
      <c r="AQ523" s="85"/>
      <c r="AR523" s="70">
        <v>595</v>
      </c>
      <c r="AS523" s="70">
        <v>59.5</v>
      </c>
      <c r="AT523" s="70"/>
      <c r="AU523" s="72"/>
      <c r="AV523" s="73"/>
      <c r="AW523" s="58"/>
      <c r="AX523" s="58"/>
      <c r="AY523" s="58"/>
      <c r="BB523" s="59"/>
      <c r="BC523" s="60"/>
      <c r="BD523" s="61"/>
      <c r="BE523" s="62"/>
      <c r="BF523" s="61"/>
      <c r="BG523" s="61"/>
      <c r="BH523" s="75"/>
      <c r="BI523" s="84"/>
      <c r="BJ523" s="77"/>
      <c r="BK523" s="58"/>
      <c r="BL523" s="58"/>
    </row>
    <row r="524" ht="15.75" spans="2:64">
      <c r="B524" s="59"/>
      <c r="C524" s="60"/>
      <c r="D524" s="61"/>
      <c r="E524" s="62">
        <v>370</v>
      </c>
      <c r="F524" s="61">
        <v>55.5</v>
      </c>
      <c r="G524" s="61"/>
      <c r="H524" s="75"/>
      <c r="I524" s="76"/>
      <c r="J524" s="92" t="s">
        <v>47</v>
      </c>
      <c r="K524" s="93" t="s">
        <v>48</v>
      </c>
      <c r="L524" s="93" t="s">
        <v>43</v>
      </c>
      <c r="O524" s="50"/>
      <c r="P524" s="51" t="s">
        <v>17</v>
      </c>
      <c r="Q524" s="51" t="s">
        <v>18</v>
      </c>
      <c r="R524" s="52" t="s">
        <v>17</v>
      </c>
      <c r="S524" s="52" t="s">
        <v>18</v>
      </c>
      <c r="T524" s="53"/>
      <c r="U524" s="54"/>
      <c r="V524" s="55"/>
      <c r="W524" s="56" t="s">
        <v>19</v>
      </c>
      <c r="X524" s="57"/>
      <c r="Y524" s="49">
        <f>Q548+S548</f>
        <v>577.35</v>
      </c>
      <c r="AB524" s="39" t="s">
        <v>12</v>
      </c>
      <c r="AC524" s="40" t="s">
        <v>13</v>
      </c>
      <c r="AD524" s="41"/>
      <c r="AE524" s="42" t="s">
        <v>14</v>
      </c>
      <c r="AF524" s="43"/>
      <c r="AG524" s="44" t="s">
        <v>15</v>
      </c>
      <c r="AH524" s="45"/>
      <c r="AI524" s="46"/>
      <c r="AJ524" s="47" t="s">
        <v>16</v>
      </c>
      <c r="AK524" s="48"/>
      <c r="AL524" s="49">
        <f>AC543+AE543</f>
        <v>4517</v>
      </c>
      <c r="AO524" s="59"/>
      <c r="AP524" s="60">
        <v>636</v>
      </c>
      <c r="AQ524" s="61">
        <v>50</v>
      </c>
      <c r="AR524" s="62"/>
      <c r="AS524" s="61"/>
      <c r="AT524" s="61"/>
      <c r="AU524" s="75"/>
      <c r="AV524" s="84"/>
      <c r="AW524" s="58"/>
      <c r="AX524" s="58"/>
      <c r="AY524" s="58"/>
      <c r="BB524" s="69"/>
      <c r="BC524" s="70"/>
      <c r="BD524" s="85"/>
      <c r="BE524" s="70"/>
      <c r="BF524" s="70"/>
      <c r="BG524" s="70"/>
      <c r="BH524" s="72"/>
      <c r="BI524" s="73"/>
      <c r="BJ524" s="89" t="s">
        <v>44</v>
      </c>
      <c r="BK524" s="90" t="s">
        <v>45</v>
      </c>
      <c r="BL524" s="90" t="s">
        <v>46</v>
      </c>
    </row>
    <row r="525" ht="15.75" spans="2:64">
      <c r="B525" s="69"/>
      <c r="C525" s="70"/>
      <c r="D525" s="71"/>
      <c r="E525" s="70">
        <v>212</v>
      </c>
      <c r="F525" s="70">
        <v>21.2</v>
      </c>
      <c r="G525" s="70"/>
      <c r="H525" s="72"/>
      <c r="I525" s="73"/>
      <c r="J525" s="94" t="s">
        <v>52</v>
      </c>
      <c r="K525" s="95" t="s">
        <v>27</v>
      </c>
      <c r="L525" s="95" t="s">
        <v>65</v>
      </c>
      <c r="O525" s="59">
        <v>2274</v>
      </c>
      <c r="Q525" s="61"/>
      <c r="R525" s="60">
        <v>811</v>
      </c>
      <c r="S525" s="61">
        <v>121.65</v>
      </c>
      <c r="T525" s="61">
        <v>1793</v>
      </c>
      <c r="U525" s="63" t="s">
        <v>184</v>
      </c>
      <c r="V525" s="64"/>
      <c r="W525" s="65" t="s">
        <v>21</v>
      </c>
      <c r="X525" s="66"/>
      <c r="Y525" s="67">
        <f>T548</f>
        <v>1823</v>
      </c>
      <c r="AB525" s="50"/>
      <c r="AC525" s="51" t="s">
        <v>17</v>
      </c>
      <c r="AD525" s="51" t="s">
        <v>18</v>
      </c>
      <c r="AE525" s="52" t="s">
        <v>17</v>
      </c>
      <c r="AF525" s="52" t="s">
        <v>18</v>
      </c>
      <c r="AG525" s="53"/>
      <c r="AH525" s="54"/>
      <c r="AI525" s="55"/>
      <c r="AJ525" s="56" t="s">
        <v>19</v>
      </c>
      <c r="AK525" s="57"/>
      <c r="AL525" s="49">
        <f>AD543+AF543</f>
        <v>298.25</v>
      </c>
      <c r="AO525" s="69"/>
      <c r="AP525" s="70">
        <v>220</v>
      </c>
      <c r="AQ525" s="85">
        <v>30</v>
      </c>
      <c r="AR525" s="70"/>
      <c r="AS525" s="70"/>
      <c r="AT525" s="70"/>
      <c r="AU525" s="72"/>
      <c r="AV525" s="73"/>
      <c r="AW525" s="58"/>
      <c r="AX525" s="58"/>
      <c r="AY525" s="58"/>
      <c r="BB525" s="59"/>
      <c r="BC525" s="60"/>
      <c r="BD525" s="61"/>
      <c r="BE525" s="62"/>
      <c r="BF525" s="61"/>
      <c r="BG525" s="61"/>
      <c r="BH525" s="75"/>
      <c r="BI525" s="84"/>
      <c r="BJ525" s="92" t="s">
        <v>47</v>
      </c>
      <c r="BK525" s="93" t="s">
        <v>27</v>
      </c>
      <c r="BL525" s="93" t="s">
        <v>43</v>
      </c>
    </row>
    <row r="526" ht="15.75" spans="2:64">
      <c r="B526" s="59"/>
      <c r="C526" s="60"/>
      <c r="D526" s="61"/>
      <c r="E526" s="62"/>
      <c r="F526" s="61"/>
      <c r="G526" s="61"/>
      <c r="H526" s="75"/>
      <c r="I526" s="76"/>
      <c r="J526" s="77"/>
      <c r="K526" s="77"/>
      <c r="L526" s="87"/>
      <c r="O526" s="69"/>
      <c r="P526" s="70"/>
      <c r="Q526" s="71"/>
      <c r="R526" s="70">
        <v>487</v>
      </c>
      <c r="S526" s="71"/>
      <c r="T526" s="70">
        <v>30</v>
      </c>
      <c r="U526" s="72" t="s">
        <v>29</v>
      </c>
      <c r="V526" s="73"/>
      <c r="W526" s="74" t="s">
        <v>26</v>
      </c>
      <c r="X526" s="57"/>
      <c r="Y526" s="49">
        <f>O548+Y523+Y524-Y525-R548-S548</f>
        <v>1411</v>
      </c>
      <c r="AB526" s="59">
        <v>2858</v>
      </c>
      <c r="AC526" s="60">
        <v>508</v>
      </c>
      <c r="AD526" s="61"/>
      <c r="AE526" s="62"/>
      <c r="AF526" s="61"/>
      <c r="AG526" s="61">
        <v>1025</v>
      </c>
      <c r="AH526" s="63" t="s">
        <v>66</v>
      </c>
      <c r="AI526" s="64"/>
      <c r="AJ526" s="65" t="s">
        <v>21</v>
      </c>
      <c r="AK526" s="66"/>
      <c r="AL526" s="67">
        <f>AG543</f>
        <v>3088.7</v>
      </c>
      <c r="AO526" s="59"/>
      <c r="AP526" s="60">
        <v>691</v>
      </c>
      <c r="AQ526" s="61">
        <v>49</v>
      </c>
      <c r="AR526" s="62"/>
      <c r="AS526" s="61"/>
      <c r="AT526" s="61"/>
      <c r="AU526" s="75"/>
      <c r="AV526" s="84"/>
      <c r="AW526" s="58"/>
      <c r="AX526" s="58"/>
      <c r="AY526" s="58"/>
      <c r="BB526" s="69"/>
      <c r="BC526" s="70"/>
      <c r="BD526" s="85"/>
      <c r="BE526" s="70"/>
      <c r="BF526" s="70"/>
      <c r="BG526" s="70"/>
      <c r="BH526" s="72"/>
      <c r="BI526" s="73"/>
      <c r="BJ526" s="94" t="s">
        <v>52</v>
      </c>
      <c r="BK526" s="95" t="s">
        <v>48</v>
      </c>
      <c r="BL526" s="95" t="s">
        <v>65</v>
      </c>
    </row>
    <row r="527" ht="15.75" spans="2:64">
      <c r="B527" s="69"/>
      <c r="C527" s="70"/>
      <c r="D527" s="71"/>
      <c r="E527" s="70"/>
      <c r="F527" s="70"/>
      <c r="G527" s="70"/>
      <c r="H527" s="72"/>
      <c r="I527" s="73"/>
      <c r="J527" s="58"/>
      <c r="K527" s="58"/>
      <c r="L527" s="58"/>
      <c r="O527" s="59"/>
      <c r="P527" s="60"/>
      <c r="Q527" s="60"/>
      <c r="R527" s="60">
        <v>400</v>
      </c>
      <c r="S527" s="61">
        <v>40</v>
      </c>
      <c r="T527" s="61"/>
      <c r="U527" s="75"/>
      <c r="V527" s="76"/>
      <c r="W527" s="77"/>
      <c r="X527" s="78" t="s">
        <v>30</v>
      </c>
      <c r="Y527" s="79">
        <f>Y524/4</f>
        <v>144.3375</v>
      </c>
      <c r="AB527" s="69"/>
      <c r="AC527" s="70">
        <v>682</v>
      </c>
      <c r="AD527" s="71">
        <v>38</v>
      </c>
      <c r="AE527" s="70"/>
      <c r="AF527" s="70"/>
      <c r="AG527" s="70">
        <v>63.7</v>
      </c>
      <c r="AH527" s="72" t="s">
        <v>36</v>
      </c>
      <c r="AI527" s="73"/>
      <c r="AJ527" s="74" t="s">
        <v>26</v>
      </c>
      <c r="AK527" s="57"/>
      <c r="AL527" s="49">
        <f>AB543+AL524+AL525-AL526-AE543-AF543</f>
        <v>3154.3</v>
      </c>
      <c r="AO527" s="69"/>
      <c r="AP527" s="70"/>
      <c r="AQ527" s="85"/>
      <c r="AR527" s="70">
        <v>370</v>
      </c>
      <c r="AS527" s="70">
        <v>37</v>
      </c>
      <c r="AT527" s="70"/>
      <c r="AU527" s="72"/>
      <c r="AV527" s="73"/>
      <c r="AW527" s="58"/>
      <c r="BB527" s="59"/>
      <c r="BC527" s="60"/>
      <c r="BD527" s="61"/>
      <c r="BE527" s="62"/>
      <c r="BF527" s="61"/>
      <c r="BG527" s="61"/>
      <c r="BH527" s="75"/>
      <c r="BI527" s="84"/>
      <c r="BJ527" s="77"/>
      <c r="BK527" s="77"/>
      <c r="BL527" s="87"/>
    </row>
    <row r="528" spans="2:64">
      <c r="B528" s="59"/>
      <c r="C528" s="60"/>
      <c r="D528" s="61"/>
      <c r="E528" s="62"/>
      <c r="F528" s="61"/>
      <c r="G528" s="61"/>
      <c r="H528" s="75"/>
      <c r="I528" s="76"/>
      <c r="J528" s="58"/>
      <c r="K528" s="58"/>
      <c r="L528" s="58"/>
      <c r="O528" s="69"/>
      <c r="P528" s="70"/>
      <c r="Q528" s="71"/>
      <c r="R528" s="70">
        <v>460</v>
      </c>
      <c r="S528" s="70">
        <v>40</v>
      </c>
      <c r="T528" s="70"/>
      <c r="U528" s="72"/>
      <c r="V528" s="73"/>
      <c r="W528" s="77"/>
      <c r="X528" s="80" t="s">
        <v>34</v>
      </c>
      <c r="Y528" s="81">
        <f>Y524/6</f>
        <v>96.225</v>
      </c>
      <c r="AB528" s="59"/>
      <c r="AC528" s="60">
        <v>22</v>
      </c>
      <c r="AD528" s="61"/>
      <c r="AE528" s="62"/>
      <c r="AF528" s="61"/>
      <c r="AG528" s="61">
        <v>25</v>
      </c>
      <c r="AH528" s="75" t="s">
        <v>29</v>
      </c>
      <c r="AI528" s="76"/>
      <c r="AJ528" s="77"/>
      <c r="AK528" s="78" t="s">
        <v>30</v>
      </c>
      <c r="AL528" s="79">
        <f>AL525/4</f>
        <v>74.5625</v>
      </c>
      <c r="AO528" s="59"/>
      <c r="AP528" s="60"/>
      <c r="AQ528" s="61"/>
      <c r="AR528" s="62">
        <v>65</v>
      </c>
      <c r="AS528" s="61"/>
      <c r="AT528" s="61"/>
      <c r="AU528" s="75"/>
      <c r="AV528" s="84"/>
      <c r="AW528" s="58"/>
      <c r="BB528" s="69"/>
      <c r="BC528" s="70"/>
      <c r="BD528" s="85"/>
      <c r="BE528" s="70"/>
      <c r="BF528" s="70"/>
      <c r="BG528" s="70"/>
      <c r="BH528" s="72"/>
      <c r="BI528" s="73"/>
      <c r="BJ528" s="58"/>
      <c r="BK528" s="58"/>
      <c r="BL528" s="58"/>
    </row>
    <row r="529" spans="2:64">
      <c r="B529" s="69"/>
      <c r="C529" s="71"/>
      <c r="D529" s="71"/>
      <c r="E529" s="70"/>
      <c r="F529" s="70"/>
      <c r="G529" s="70"/>
      <c r="H529" s="72"/>
      <c r="I529" s="73"/>
      <c r="J529" s="58"/>
      <c r="K529" s="58"/>
      <c r="L529" s="58"/>
      <c r="O529" s="59"/>
      <c r="Q529" s="61"/>
      <c r="R529" s="62">
        <v>175</v>
      </c>
      <c r="S529" s="61"/>
      <c r="T529" s="61"/>
      <c r="U529" s="75"/>
      <c r="V529" s="76"/>
      <c r="W529" s="77"/>
      <c r="X529" s="82" t="s">
        <v>37</v>
      </c>
      <c r="Y529" s="83">
        <f>Y524/8</f>
        <v>72.16875</v>
      </c>
      <c r="AB529" s="69"/>
      <c r="AC529" s="70">
        <v>775</v>
      </c>
      <c r="AD529" s="71">
        <v>30</v>
      </c>
      <c r="AE529" s="70"/>
      <c r="AF529" s="70"/>
      <c r="AG529" s="70">
        <v>145</v>
      </c>
      <c r="AH529" s="72" t="s">
        <v>282</v>
      </c>
      <c r="AI529" s="73"/>
      <c r="AJ529" s="77"/>
      <c r="AK529" s="80" t="s">
        <v>34</v>
      </c>
      <c r="AL529" s="81">
        <f>AL525/6</f>
        <v>49.7083333333333</v>
      </c>
      <c r="AO529" s="69"/>
      <c r="AP529" s="70">
        <v>1082</v>
      </c>
      <c r="AQ529" s="85">
        <v>60</v>
      </c>
      <c r="AR529" s="70"/>
      <c r="AS529" s="70"/>
      <c r="AT529" s="70"/>
      <c r="AU529" s="72"/>
      <c r="AV529" s="73"/>
      <c r="AW529" s="58"/>
      <c r="BB529" s="59"/>
      <c r="BC529" s="60"/>
      <c r="BD529" s="61"/>
      <c r="BE529" s="62"/>
      <c r="BF529" s="61"/>
      <c r="BG529" s="61"/>
      <c r="BH529" s="75"/>
      <c r="BI529" s="76"/>
    </row>
    <row r="530" spans="2:64">
      <c r="B530" s="59"/>
      <c r="C530" s="61"/>
      <c r="D530" s="61"/>
      <c r="E530" s="62"/>
      <c r="F530" s="61"/>
      <c r="G530" s="61"/>
      <c r="H530" s="75"/>
      <c r="I530" s="76"/>
      <c r="J530" s="58"/>
      <c r="K530" s="58"/>
      <c r="L530" s="58"/>
      <c r="O530" s="69"/>
      <c r="P530" s="60"/>
      <c r="Q530" s="85"/>
      <c r="R530" s="70">
        <v>205</v>
      </c>
      <c r="S530" s="70">
        <v>30.75</v>
      </c>
      <c r="T530" s="70"/>
      <c r="U530" s="72"/>
      <c r="V530" s="73"/>
      <c r="W530" s="86"/>
      <c r="X530" s="77"/>
      <c r="Y530" s="87"/>
      <c r="AB530" s="59"/>
      <c r="AC530" s="60">
        <v>290</v>
      </c>
      <c r="AD530" s="61">
        <v>40</v>
      </c>
      <c r="AE530" s="62"/>
      <c r="AF530" s="61"/>
      <c r="AG530" s="61">
        <v>58</v>
      </c>
      <c r="AH530" s="75" t="s">
        <v>170</v>
      </c>
      <c r="AI530" s="76"/>
      <c r="AJ530" s="77"/>
      <c r="AK530" s="82" t="s">
        <v>37</v>
      </c>
      <c r="AL530" s="83">
        <f>AL525/8</f>
        <v>37.28125</v>
      </c>
      <c r="AO530" s="59"/>
      <c r="AP530" s="60"/>
      <c r="AQ530" s="61"/>
      <c r="AR530" s="62"/>
      <c r="AS530" s="61"/>
      <c r="AT530" s="61"/>
      <c r="AU530" s="75"/>
      <c r="AV530" s="84"/>
      <c r="AW530" s="58"/>
      <c r="BB530" s="96"/>
      <c r="BC530" s="97"/>
      <c r="BD530" s="98"/>
      <c r="BE530" s="99"/>
      <c r="BF530" s="98"/>
      <c r="BG530" s="98"/>
      <c r="BH530" s="72"/>
      <c r="BI530" s="73"/>
    </row>
    <row r="531" spans="2:64">
      <c r="B531" s="69"/>
      <c r="C531" s="70"/>
      <c r="D531" s="71"/>
      <c r="E531" s="70"/>
      <c r="F531" s="70"/>
      <c r="G531" s="70"/>
      <c r="H531" s="72"/>
      <c r="I531" s="73"/>
      <c r="J531" s="58"/>
      <c r="K531" s="58"/>
      <c r="L531" s="58"/>
      <c r="O531" s="59"/>
      <c r="P531" s="60">
        <v>170</v>
      </c>
      <c r="Q531" s="61"/>
      <c r="R531" s="62"/>
      <c r="S531" s="61"/>
      <c r="T531" s="61"/>
      <c r="U531" s="75"/>
      <c r="V531" s="76"/>
      <c r="W531" s="77"/>
      <c r="X531" s="58"/>
      <c r="Y531" s="58"/>
      <c r="AB531" s="69"/>
      <c r="AC531" s="70"/>
      <c r="AD531" s="85"/>
      <c r="AE531" s="70">
        <v>395</v>
      </c>
      <c r="AF531" s="70">
        <v>19.75</v>
      </c>
      <c r="AG531" s="70">
        <v>173</v>
      </c>
      <c r="AH531" s="72" t="s">
        <v>149</v>
      </c>
      <c r="AI531" s="73"/>
      <c r="AJ531" s="86"/>
      <c r="AK531" s="77"/>
      <c r="AL531" s="87"/>
      <c r="AO531" s="69"/>
      <c r="AP531" s="112"/>
      <c r="AQ531" s="71"/>
      <c r="AR531" s="58"/>
      <c r="AS531" s="70"/>
      <c r="AT531" s="70"/>
      <c r="AU531" s="72"/>
      <c r="AV531" s="73"/>
      <c r="AW531" s="58"/>
      <c r="BB531" s="59"/>
      <c r="BC531" s="60"/>
      <c r="BD531" s="61"/>
      <c r="BE531" s="62"/>
      <c r="BF531" s="61"/>
      <c r="BG531" s="61"/>
      <c r="BH531" s="75"/>
      <c r="BI531" s="76"/>
    </row>
    <row r="532" spans="2:64">
      <c r="B532" s="59"/>
      <c r="C532" s="60"/>
      <c r="D532" s="61"/>
      <c r="E532" s="62"/>
      <c r="F532" s="61"/>
      <c r="G532" s="61"/>
      <c r="H532" s="75"/>
      <c r="I532" s="76"/>
      <c r="O532" s="69"/>
      <c r="P532" s="70"/>
      <c r="Q532" s="71"/>
      <c r="R532" s="70">
        <v>853</v>
      </c>
      <c r="S532" s="70">
        <v>85.3</v>
      </c>
      <c r="T532" s="70"/>
      <c r="U532" s="72"/>
      <c r="V532" s="73"/>
      <c r="W532" s="77"/>
      <c r="X532" s="58"/>
      <c r="Y532" s="58"/>
      <c r="AB532" s="59"/>
      <c r="AC532" s="60"/>
      <c r="AD532" s="61"/>
      <c r="AE532" s="62">
        <v>495</v>
      </c>
      <c r="AF532" s="61">
        <v>49.5</v>
      </c>
      <c r="AG532" s="61">
        <v>1319</v>
      </c>
      <c r="AH532" s="75" t="s">
        <v>39</v>
      </c>
      <c r="AI532" s="76"/>
      <c r="AJ532" s="77"/>
      <c r="AK532" s="58"/>
      <c r="AL532" s="58"/>
      <c r="AO532" s="59"/>
      <c r="AP532" s="60"/>
      <c r="AQ532" s="61"/>
      <c r="AR532" s="62"/>
      <c r="AS532" s="61"/>
      <c r="AT532" s="61"/>
      <c r="AU532" s="75"/>
      <c r="AV532" s="76"/>
      <c r="BB532" s="96"/>
      <c r="BC532" s="97"/>
      <c r="BD532" s="98"/>
      <c r="BE532" s="99"/>
      <c r="BF532" s="98"/>
      <c r="BG532" s="98"/>
      <c r="BH532" s="72"/>
      <c r="BI532" s="73"/>
    </row>
    <row r="533" ht="15.75" spans="2:64">
      <c r="B533" s="69"/>
      <c r="C533" s="112"/>
      <c r="D533" s="71"/>
      <c r="E533" s="58"/>
      <c r="F533" s="70"/>
      <c r="G533" s="70"/>
      <c r="H533" s="72"/>
      <c r="I533" s="73"/>
      <c r="O533" s="59"/>
      <c r="P533" s="60">
        <v>525</v>
      </c>
      <c r="Q533" s="88">
        <v>50</v>
      </c>
      <c r="R533" s="62"/>
      <c r="S533" s="61"/>
      <c r="T533" s="61"/>
      <c r="U533" s="75"/>
      <c r="V533" s="76"/>
      <c r="W533" s="77"/>
      <c r="X533" s="58"/>
      <c r="Y533" s="58"/>
      <c r="AB533" s="69"/>
      <c r="AC533" s="70">
        <v>547</v>
      </c>
      <c r="AD533" s="71">
        <v>53</v>
      </c>
      <c r="AE533" s="70"/>
      <c r="AF533" s="70"/>
      <c r="AG533" s="70">
        <v>280</v>
      </c>
      <c r="AH533" s="72" t="s">
        <v>118</v>
      </c>
      <c r="AI533" s="73"/>
      <c r="AJ533" s="77"/>
      <c r="AK533" s="58"/>
      <c r="AL533" s="58"/>
      <c r="AO533" s="96"/>
      <c r="AP533" s="97"/>
      <c r="AQ533" s="98"/>
      <c r="AR533" s="99"/>
      <c r="AS533" s="98"/>
      <c r="AT533" s="98"/>
      <c r="AU533" s="72"/>
      <c r="AV533" s="73"/>
      <c r="BB533" s="59"/>
      <c r="BC533" s="60"/>
      <c r="BD533" s="61"/>
      <c r="BE533" s="62"/>
      <c r="BF533" s="61"/>
      <c r="BG533" s="61"/>
      <c r="BH533" s="75"/>
      <c r="BI533" s="76"/>
    </row>
    <row r="534" ht="15.75" spans="2:64">
      <c r="B534" s="59"/>
      <c r="C534" s="60"/>
      <c r="D534" s="61"/>
      <c r="E534" s="62"/>
      <c r="F534" s="61"/>
      <c r="G534" s="61"/>
      <c r="H534" s="75"/>
      <c r="I534" s="76"/>
      <c r="O534" s="69"/>
      <c r="P534" s="70"/>
      <c r="Q534" s="71"/>
      <c r="R534" s="70">
        <v>1079</v>
      </c>
      <c r="S534" s="70">
        <v>161.85</v>
      </c>
      <c r="T534" s="70"/>
      <c r="U534" s="72"/>
      <c r="V534" s="73"/>
      <c r="W534" s="89" t="s">
        <v>44</v>
      </c>
      <c r="X534" s="90" t="s">
        <v>45</v>
      </c>
      <c r="Y534" s="90" t="s">
        <v>46</v>
      </c>
      <c r="AB534" s="59"/>
      <c r="AC534" s="60">
        <v>332</v>
      </c>
      <c r="AD534" s="88">
        <v>68</v>
      </c>
      <c r="AE534" s="62"/>
      <c r="AF534" s="61"/>
      <c r="AG534" s="61"/>
      <c r="AH534" s="75"/>
      <c r="AI534" s="76"/>
      <c r="AJ534" s="77"/>
      <c r="AK534" s="58"/>
      <c r="AL534" s="58"/>
      <c r="AO534" s="102">
        <f t="shared" ref="AO534:AT534" si="93">SUM(AO508:AO533)</f>
        <v>560</v>
      </c>
      <c r="AP534" s="103">
        <f t="shared" si="93"/>
        <v>4521</v>
      </c>
      <c r="AQ534" s="104">
        <f t="shared" si="93"/>
        <v>289</v>
      </c>
      <c r="AR534" s="105">
        <f t="shared" si="93"/>
        <v>3223</v>
      </c>
      <c r="AS534" s="106">
        <f t="shared" si="93"/>
        <v>296.1</v>
      </c>
      <c r="AT534" s="107">
        <f t="shared" si="93"/>
        <v>378.5</v>
      </c>
      <c r="AU534" s="108" t="s">
        <v>54</v>
      </c>
      <c r="AV534" s="109"/>
      <c r="BB534" s="96"/>
      <c r="BC534" s="97"/>
      <c r="BD534" s="98"/>
      <c r="BE534" s="99"/>
      <c r="BF534" s="98"/>
      <c r="BG534" s="98"/>
      <c r="BH534" s="72"/>
      <c r="BI534" s="73"/>
    </row>
    <row r="535" ht="15.75" spans="2:64">
      <c r="B535" s="96"/>
      <c r="C535" s="97"/>
      <c r="D535" s="98"/>
      <c r="E535" s="99"/>
      <c r="F535" s="98"/>
      <c r="G535" s="98"/>
      <c r="H535" s="72"/>
      <c r="I535" s="73"/>
      <c r="O535" s="59"/>
      <c r="P535" s="60">
        <v>215</v>
      </c>
      <c r="Q535" s="61"/>
      <c r="R535" s="62"/>
      <c r="S535" s="61"/>
      <c r="T535" s="61"/>
      <c r="U535" s="75"/>
      <c r="V535" s="76"/>
      <c r="W535" s="92" t="s">
        <v>47</v>
      </c>
      <c r="X535" s="93" t="s">
        <v>283</v>
      </c>
      <c r="Y535" s="93" t="s">
        <v>65</v>
      </c>
      <c r="AB535" s="69"/>
      <c r="AC535" s="70"/>
      <c r="AD535" s="71"/>
      <c r="AE535" s="70">
        <v>471</v>
      </c>
      <c r="AF535" s="70"/>
      <c r="AG535" s="70"/>
      <c r="AH535" s="72"/>
      <c r="AI535" s="73"/>
      <c r="AJ535" s="89" t="s">
        <v>44</v>
      </c>
      <c r="AK535" s="90" t="s">
        <v>45</v>
      </c>
      <c r="AL535" s="90" t="s">
        <v>46</v>
      </c>
      <c r="BB535" s="102">
        <f t="shared" ref="BB535:BG535" si="94">SUM(BB515:BB534)</f>
        <v>542</v>
      </c>
      <c r="BC535" s="103">
        <f t="shared" si="94"/>
        <v>1446</v>
      </c>
      <c r="BD535" s="104">
        <f t="shared" si="94"/>
        <v>84</v>
      </c>
      <c r="BE535" s="105">
        <f t="shared" si="94"/>
        <v>928</v>
      </c>
      <c r="BF535" s="106">
        <f t="shared" si="94"/>
        <v>92.8</v>
      </c>
      <c r="BG535" s="107">
        <f t="shared" si="94"/>
        <v>30</v>
      </c>
      <c r="BH535" s="108" t="s">
        <v>54</v>
      </c>
      <c r="BI535" s="109"/>
    </row>
    <row r="536" spans="2:64">
      <c r="B536" s="59"/>
      <c r="C536" s="60"/>
      <c r="D536" s="61"/>
      <c r="E536" s="62"/>
      <c r="F536" s="61"/>
      <c r="G536" s="61"/>
      <c r="H536" s="75"/>
      <c r="I536" s="76"/>
      <c r="O536" s="69"/>
      <c r="P536" s="70"/>
      <c r="Q536" s="71"/>
      <c r="R536" s="70">
        <v>168</v>
      </c>
      <c r="S536" s="70">
        <v>16.8</v>
      </c>
      <c r="T536" s="70"/>
      <c r="U536" s="72"/>
      <c r="V536" s="73"/>
      <c r="W536" s="94" t="s">
        <v>52</v>
      </c>
      <c r="X536" s="95" t="s">
        <v>48</v>
      </c>
      <c r="Y536" s="95" t="s">
        <v>43</v>
      </c>
      <c r="AB536" s="59"/>
      <c r="AC536" s="60"/>
      <c r="AD536" s="61"/>
      <c r="AE536" s="62"/>
      <c r="AF536" s="61"/>
      <c r="AG536" s="61"/>
      <c r="AH536" s="75"/>
      <c r="AI536" s="76"/>
      <c r="AJ536" s="92" t="s">
        <v>47</v>
      </c>
      <c r="AK536" s="93" t="s">
        <v>48</v>
      </c>
      <c r="AL536" s="93" t="s">
        <v>65</v>
      </c>
      <c r="AO536" s="33" t="s">
        <v>284</v>
      </c>
      <c r="AP536" s="34"/>
      <c r="AQ536" s="34"/>
      <c r="AR536" s="34"/>
      <c r="AS536" s="34"/>
      <c r="AT536" s="34"/>
      <c r="AU536" s="34"/>
      <c r="AV536" s="34"/>
      <c r="AW536" s="34"/>
      <c r="AX536" s="34"/>
      <c r="AY536" s="35"/>
    </row>
    <row r="537" ht="15.75" spans="2:64">
      <c r="B537" s="59"/>
      <c r="C537" s="60"/>
      <c r="D537" s="61"/>
      <c r="E537" s="62"/>
      <c r="F537" s="61"/>
      <c r="G537" s="61"/>
      <c r="H537" s="75"/>
      <c r="I537" s="76"/>
      <c r="O537" s="59"/>
      <c r="P537" s="60"/>
      <c r="Q537" s="61"/>
      <c r="R537" s="62">
        <v>175</v>
      </c>
      <c r="S537" s="61"/>
      <c r="T537" s="61"/>
      <c r="U537" s="75"/>
      <c r="V537" s="76"/>
      <c r="W537" s="77"/>
      <c r="X537" s="77"/>
      <c r="Y537" s="87"/>
      <c r="AB537" s="69"/>
      <c r="AC537" s="70"/>
      <c r="AD537" s="71"/>
      <c r="AE537" s="70"/>
      <c r="AF537" s="70"/>
      <c r="AG537" s="70"/>
      <c r="AH537" s="72"/>
      <c r="AI537" s="73"/>
      <c r="AJ537" s="94" t="s">
        <v>52</v>
      </c>
      <c r="AK537" s="95" t="s">
        <v>27</v>
      </c>
      <c r="AL537" s="95" t="s">
        <v>43</v>
      </c>
      <c r="AO537" s="36"/>
      <c r="AP537" s="37"/>
      <c r="AQ537" s="37"/>
      <c r="AR537" s="37"/>
      <c r="AS537" s="37"/>
      <c r="AT537" s="37"/>
      <c r="AU537" s="37"/>
      <c r="AV537" s="37"/>
      <c r="AW537" s="37"/>
      <c r="AX537" s="37"/>
      <c r="AY537" s="38"/>
    </row>
    <row r="538" ht="15.75" spans="2:64">
      <c r="B538" s="69"/>
      <c r="C538" s="112"/>
      <c r="D538" s="71"/>
      <c r="E538" s="58"/>
      <c r="F538" s="70"/>
      <c r="G538" s="70"/>
      <c r="H538" s="72"/>
      <c r="I538" s="73"/>
      <c r="O538" s="69"/>
      <c r="P538" s="70"/>
      <c r="Q538" s="71"/>
      <c r="R538" s="70">
        <v>155</v>
      </c>
      <c r="S538" s="70">
        <v>31</v>
      </c>
      <c r="T538" s="70"/>
      <c r="U538" s="72"/>
      <c r="V538" s="73"/>
      <c r="W538" s="58"/>
      <c r="X538" s="58"/>
      <c r="Y538" s="58"/>
      <c r="AB538" s="59"/>
      <c r="AC538" s="60"/>
      <c r="AD538" s="61"/>
      <c r="AE538" s="62"/>
      <c r="AF538" s="61"/>
      <c r="AG538" s="61"/>
      <c r="AH538" s="75"/>
      <c r="AI538" s="76"/>
      <c r="AJ538" s="77"/>
      <c r="AK538" s="77"/>
      <c r="AL538" s="87"/>
      <c r="AO538" s="39" t="s">
        <v>12</v>
      </c>
      <c r="AP538" s="40" t="s">
        <v>13</v>
      </c>
      <c r="AQ538" s="41"/>
      <c r="AR538" s="42" t="s">
        <v>14</v>
      </c>
      <c r="AS538" s="43"/>
      <c r="AT538" s="44" t="s">
        <v>15</v>
      </c>
      <c r="AU538" s="45"/>
      <c r="AV538" s="46"/>
      <c r="AW538" s="47" t="s">
        <v>16</v>
      </c>
      <c r="AX538" s="48"/>
      <c r="AY538" s="49">
        <f>AP562+AR562</f>
        <v>4023</v>
      </c>
    </row>
    <row r="539" ht="15.75" spans="2:64">
      <c r="B539" s="102">
        <f t="shared" ref="B539:G539" si="95">SUM(B514:B538)</f>
        <v>2119</v>
      </c>
      <c r="C539" s="103">
        <f t="shared" si="95"/>
        <v>1186</v>
      </c>
      <c r="D539" s="104">
        <f t="shared" si="95"/>
        <v>93</v>
      </c>
      <c r="E539" s="105">
        <f t="shared" si="95"/>
        <v>2366</v>
      </c>
      <c r="F539" s="106">
        <f t="shared" si="95"/>
        <v>224.3</v>
      </c>
      <c r="G539" s="107">
        <f t="shared" si="95"/>
        <v>1163</v>
      </c>
      <c r="H539" s="108" t="s">
        <v>54</v>
      </c>
      <c r="I539" s="109"/>
      <c r="O539" s="59"/>
      <c r="P539" s="60"/>
      <c r="Q539" s="61"/>
      <c r="R539" s="62"/>
      <c r="S539" s="61"/>
      <c r="T539" s="61"/>
      <c r="U539" s="75"/>
      <c r="V539" s="76"/>
      <c r="W539" s="58"/>
      <c r="X539" s="58"/>
      <c r="Y539" s="58"/>
      <c r="AB539" s="69"/>
      <c r="AC539" s="70"/>
      <c r="AD539" s="71"/>
      <c r="AE539" s="70"/>
      <c r="AF539" s="70"/>
      <c r="AG539" s="70"/>
      <c r="AH539" s="72"/>
      <c r="AI539" s="73"/>
      <c r="AJ539" s="58"/>
      <c r="AK539" s="58"/>
      <c r="AL539" s="58"/>
      <c r="AO539" s="50"/>
      <c r="AP539" s="51" t="s">
        <v>17</v>
      </c>
      <c r="AQ539" s="51" t="s">
        <v>18</v>
      </c>
      <c r="AR539" s="52" t="s">
        <v>17</v>
      </c>
      <c r="AS539" s="52" t="s">
        <v>18</v>
      </c>
      <c r="AT539" s="53"/>
      <c r="AU539" s="54"/>
      <c r="AV539" s="55"/>
      <c r="AW539" s="56" t="s">
        <v>19</v>
      </c>
      <c r="AX539" s="57"/>
      <c r="AY539" s="49">
        <f>AQ562+AS562</f>
        <v>339.55</v>
      </c>
    </row>
    <row r="540" ht="15.75" spans="2:64">
      <c r="O540" s="59"/>
      <c r="P540" s="61"/>
      <c r="Q540" s="61"/>
      <c r="R540" s="62"/>
      <c r="S540" s="61"/>
      <c r="T540" s="61"/>
      <c r="U540" s="75"/>
      <c r="V540" s="76"/>
      <c r="W540" s="58"/>
      <c r="AB540" s="59"/>
      <c r="AC540" s="60"/>
      <c r="AD540" s="61"/>
      <c r="AE540" s="62"/>
      <c r="AF540" s="61"/>
      <c r="AG540" s="61"/>
      <c r="AH540" s="75"/>
      <c r="AI540" s="76"/>
      <c r="AO540" s="59">
        <v>4971</v>
      </c>
      <c r="AP540" s="68"/>
      <c r="AQ540" s="61"/>
      <c r="AR540" s="62">
        <v>626</v>
      </c>
      <c r="AS540" s="61">
        <v>62.6</v>
      </c>
      <c r="AT540" s="61">
        <v>25</v>
      </c>
      <c r="AU540" s="63" t="s">
        <v>29</v>
      </c>
      <c r="AV540" s="64"/>
      <c r="AW540" s="65" t="s">
        <v>21</v>
      </c>
      <c r="AX540" s="66"/>
      <c r="AY540" s="67">
        <f>AT562</f>
        <v>4721</v>
      </c>
    </row>
    <row r="541" customHeight="1" spans="2:64">
      <c r="O541" s="69"/>
      <c r="P541" s="112"/>
      <c r="Q541" s="71"/>
      <c r="R541" s="58"/>
      <c r="S541" s="70"/>
      <c r="T541" s="70"/>
      <c r="U541" s="72"/>
      <c r="V541" s="73"/>
      <c r="AB541" s="69"/>
      <c r="AC541" s="70"/>
      <c r="AD541" s="71"/>
      <c r="AE541" s="70"/>
      <c r="AF541" s="70"/>
      <c r="AG541" s="70"/>
      <c r="AH541" s="72"/>
      <c r="AI541" s="73"/>
      <c r="AO541" s="69"/>
      <c r="AP541" s="70"/>
      <c r="AQ541" s="71"/>
      <c r="AR541" s="70">
        <v>270</v>
      </c>
      <c r="AS541" s="70">
        <v>27</v>
      </c>
      <c r="AT541" s="70">
        <v>729</v>
      </c>
      <c r="AU541" s="72" t="s">
        <v>285</v>
      </c>
      <c r="AV541" s="73"/>
      <c r="AW541" s="74" t="s">
        <v>26</v>
      </c>
      <c r="AX541" s="57"/>
      <c r="AY541" s="49">
        <f>AO562+AY538+AY539-AY540-AR562-AS562</f>
        <v>1423</v>
      </c>
      <c r="BB541" s="33" t="s">
        <v>286</v>
      </c>
      <c r="BC541" s="34"/>
      <c r="BD541" s="34"/>
      <c r="BE541" s="34"/>
      <c r="BF541" s="34"/>
      <c r="BG541" s="34"/>
      <c r="BH541" s="34"/>
      <c r="BI541" s="34"/>
      <c r="BJ541" s="34"/>
      <c r="BK541" s="34"/>
      <c r="BL541" s="35"/>
    </row>
    <row r="542" ht="18" customHeight="1" spans="2:64">
      <c r="B542" s="33" t="s">
        <v>287</v>
      </c>
      <c r="C542" s="34"/>
      <c r="D542" s="34"/>
      <c r="E542" s="34"/>
      <c r="F542" s="34"/>
      <c r="G542" s="34"/>
      <c r="H542" s="34"/>
      <c r="I542" s="34"/>
      <c r="J542" s="34"/>
      <c r="K542" s="34"/>
      <c r="L542" s="35"/>
      <c r="O542" s="59"/>
      <c r="P542" s="60"/>
      <c r="Q542" s="61"/>
      <c r="R542" s="62"/>
      <c r="S542" s="61"/>
      <c r="T542" s="61"/>
      <c r="U542" s="75"/>
      <c r="V542" s="76"/>
      <c r="AB542" s="59"/>
      <c r="AC542" s="60"/>
      <c r="AD542" s="61"/>
      <c r="AE542" s="62"/>
      <c r="AF542" s="61"/>
      <c r="AG542" s="61"/>
      <c r="AH542" s="75"/>
      <c r="AI542" s="76"/>
      <c r="AO542" s="59"/>
      <c r="AP542" s="60">
        <v>108</v>
      </c>
      <c r="AQ542" s="61"/>
      <c r="AR542" s="62"/>
      <c r="AS542" s="61"/>
      <c r="AT542" s="61">
        <v>2168</v>
      </c>
      <c r="AU542" s="75" t="s">
        <v>38</v>
      </c>
      <c r="AV542" s="76"/>
      <c r="AW542" s="77"/>
      <c r="AX542" s="78" t="s">
        <v>30</v>
      </c>
      <c r="AY542" s="79">
        <f>AY539/4</f>
        <v>84.8875</v>
      </c>
      <c r="BB542" s="36"/>
      <c r="BC542" s="37"/>
      <c r="BD542" s="37"/>
      <c r="BE542" s="37"/>
      <c r="BF542" s="37"/>
      <c r="BG542" s="37"/>
      <c r="BH542" s="37"/>
      <c r="BI542" s="37"/>
      <c r="BJ542" s="37"/>
      <c r="BK542" s="37"/>
      <c r="BL542" s="38"/>
    </row>
    <row r="543" ht="15.75" spans="2:64">
      <c r="B543" s="36"/>
      <c r="C543" s="37"/>
      <c r="D543" s="37"/>
      <c r="E543" s="37"/>
      <c r="F543" s="37"/>
      <c r="G543" s="37"/>
      <c r="H543" s="37"/>
      <c r="I543" s="37"/>
      <c r="J543" s="37"/>
      <c r="K543" s="37"/>
      <c r="L543" s="38"/>
      <c r="O543" s="96"/>
      <c r="P543" s="97"/>
      <c r="Q543" s="98"/>
      <c r="R543" s="99"/>
      <c r="S543" s="98"/>
      <c r="T543" s="98"/>
      <c r="U543" s="72"/>
      <c r="V543" s="73"/>
      <c r="AB543" s="102">
        <f t="shared" ref="AB543:AG543" si="96">SUM(AB526:AB542)</f>
        <v>2858</v>
      </c>
      <c r="AC543" s="103">
        <f t="shared" si="96"/>
        <v>3156</v>
      </c>
      <c r="AD543" s="104">
        <f t="shared" si="96"/>
        <v>229</v>
      </c>
      <c r="AE543" s="105">
        <f t="shared" si="96"/>
        <v>1361</v>
      </c>
      <c r="AF543" s="106">
        <f t="shared" si="96"/>
        <v>69.25</v>
      </c>
      <c r="AG543" s="107">
        <f t="shared" si="96"/>
        <v>3088.7</v>
      </c>
      <c r="AH543" s="108" t="s">
        <v>54</v>
      </c>
      <c r="AI543" s="109"/>
      <c r="AO543" s="69"/>
      <c r="AP543" s="70"/>
      <c r="AQ543" s="71"/>
      <c r="AR543" s="70">
        <v>1088</v>
      </c>
      <c r="AS543" s="70">
        <v>108.8</v>
      </c>
      <c r="AT543" s="70">
        <v>1799</v>
      </c>
      <c r="AU543" s="72" t="s">
        <v>43</v>
      </c>
      <c r="AV543" s="73"/>
      <c r="AW543" s="77"/>
      <c r="AX543" s="80" t="s">
        <v>34</v>
      </c>
      <c r="AY543" s="81">
        <f>AY539/6</f>
        <v>56.5916666666667</v>
      </c>
      <c r="BB543" s="39" t="s">
        <v>12</v>
      </c>
      <c r="BC543" s="40" t="s">
        <v>13</v>
      </c>
      <c r="BD543" s="41"/>
      <c r="BE543" s="42" t="s">
        <v>14</v>
      </c>
      <c r="BF543" s="43"/>
      <c r="BG543" s="44" t="s">
        <v>15</v>
      </c>
      <c r="BH543" s="45"/>
      <c r="BI543" s="46"/>
      <c r="BJ543" s="47" t="s">
        <v>16</v>
      </c>
      <c r="BK543" s="48"/>
      <c r="BL543" s="49">
        <f>BC565+BE565</f>
        <v>2737</v>
      </c>
    </row>
    <row r="544" ht="15.75" spans="2:64">
      <c r="B544" s="39" t="s">
        <v>12</v>
      </c>
      <c r="C544" s="40" t="s">
        <v>13</v>
      </c>
      <c r="D544" s="41"/>
      <c r="E544" s="42" t="s">
        <v>14</v>
      </c>
      <c r="F544" s="43"/>
      <c r="G544" s="44" t="s">
        <v>15</v>
      </c>
      <c r="H544" s="45"/>
      <c r="I544" s="46"/>
      <c r="J544" s="47" t="s">
        <v>16</v>
      </c>
      <c r="K544" s="48"/>
      <c r="L544" s="49">
        <f>C571+E571</f>
        <v>7390.9</v>
      </c>
      <c r="O544" s="59"/>
      <c r="P544" s="60"/>
      <c r="Q544" s="61"/>
      <c r="R544" s="62"/>
      <c r="S544" s="61"/>
      <c r="T544" s="61"/>
      <c r="U544" s="75"/>
      <c r="V544" s="76"/>
      <c r="AO544" s="59"/>
      <c r="AP544" s="60">
        <v>335</v>
      </c>
      <c r="AQ544" s="61">
        <v>50</v>
      </c>
      <c r="AR544" s="62"/>
      <c r="AS544" s="61"/>
      <c r="AT544" s="61"/>
      <c r="AU544" s="75"/>
      <c r="AV544" s="84"/>
      <c r="AW544" s="77"/>
      <c r="AX544" s="82" t="s">
        <v>37</v>
      </c>
      <c r="AY544" s="83">
        <f>AY539/8</f>
        <v>42.44375</v>
      </c>
      <c r="BB544" s="50"/>
      <c r="BC544" s="51" t="s">
        <v>17</v>
      </c>
      <c r="BD544" s="51" t="s">
        <v>18</v>
      </c>
      <c r="BE544" s="52" t="s">
        <v>17</v>
      </c>
      <c r="BF544" s="52" t="s">
        <v>18</v>
      </c>
      <c r="BG544" s="53"/>
      <c r="BH544" s="54"/>
      <c r="BI544" s="55"/>
      <c r="BJ544" s="56" t="s">
        <v>19</v>
      </c>
      <c r="BK544" s="57"/>
      <c r="BL544" s="49">
        <f>BD565+BF565</f>
        <v>240.7</v>
      </c>
    </row>
    <row r="545" ht="15.75" spans="2:64">
      <c r="B545" s="50"/>
      <c r="C545" s="51" t="s">
        <v>17</v>
      </c>
      <c r="D545" s="51" t="s">
        <v>18</v>
      </c>
      <c r="E545" s="52" t="s">
        <v>17</v>
      </c>
      <c r="F545" s="52" t="s">
        <v>18</v>
      </c>
      <c r="G545" s="53"/>
      <c r="H545" s="54"/>
      <c r="I545" s="55"/>
      <c r="J545" s="56" t="s">
        <v>19</v>
      </c>
      <c r="K545" s="57"/>
      <c r="L545" s="49">
        <f>D571+F571</f>
        <v>693.65</v>
      </c>
      <c r="O545" s="96"/>
      <c r="P545" s="97"/>
      <c r="Q545" s="98"/>
      <c r="R545" s="99"/>
      <c r="S545" s="98"/>
      <c r="T545" s="98"/>
      <c r="U545" s="114"/>
      <c r="V545" s="115"/>
      <c r="AO545" s="69"/>
      <c r="AP545" s="70"/>
      <c r="AQ545" s="85"/>
      <c r="AR545" s="70">
        <v>284</v>
      </c>
      <c r="AS545" s="70"/>
      <c r="AT545" s="70"/>
      <c r="AU545" s="72"/>
      <c r="AV545" s="73"/>
      <c r="AW545" s="86"/>
      <c r="AX545" s="77"/>
      <c r="AY545" s="87"/>
      <c r="BB545" s="59">
        <v>542</v>
      </c>
      <c r="BC545" s="68">
        <v>220</v>
      </c>
      <c r="BD545" s="61">
        <v>40</v>
      </c>
      <c r="BE545" s="62"/>
      <c r="BF545" s="61"/>
      <c r="BG545" s="61">
        <v>30</v>
      </c>
      <c r="BH545" s="63" t="s">
        <v>97</v>
      </c>
      <c r="BI545" s="64"/>
      <c r="BJ545" s="65" t="s">
        <v>21</v>
      </c>
      <c r="BK545" s="66"/>
      <c r="BL545" s="67">
        <f>BG565</f>
        <v>60</v>
      </c>
    </row>
    <row r="546" ht="15.75" spans="2:64">
      <c r="B546" s="59">
        <v>740</v>
      </c>
      <c r="C546" s="60"/>
      <c r="D546" s="61"/>
      <c r="E546" s="62">
        <v>88.9</v>
      </c>
      <c r="F546" s="61"/>
      <c r="G546" s="61">
        <v>30</v>
      </c>
      <c r="H546" s="63" t="s">
        <v>29</v>
      </c>
      <c r="I546" s="64"/>
      <c r="J546" s="65" t="s">
        <v>21</v>
      </c>
      <c r="K546" s="66"/>
      <c r="L546" s="67">
        <f>G571</f>
        <v>563.92</v>
      </c>
      <c r="O546" s="96"/>
      <c r="P546" s="97"/>
      <c r="Q546" s="98"/>
      <c r="R546" s="99"/>
      <c r="S546" s="98"/>
      <c r="T546" s="98"/>
      <c r="U546" s="114"/>
      <c r="V546" s="115"/>
      <c r="AB546" s="33" t="s">
        <v>288</v>
      </c>
      <c r="AC546" s="34"/>
      <c r="AD546" s="34"/>
      <c r="AE546" s="34"/>
      <c r="AF546" s="34"/>
      <c r="AG546" s="34"/>
      <c r="AH546" s="34"/>
      <c r="AI546" s="34"/>
      <c r="AJ546" s="34"/>
      <c r="AK546" s="34"/>
      <c r="AL546" s="35"/>
      <c r="AO546" s="59"/>
      <c r="AP546" s="60">
        <v>150</v>
      </c>
      <c r="AQ546" s="61"/>
      <c r="AR546" s="62"/>
      <c r="AS546" s="61"/>
      <c r="AT546" s="61"/>
      <c r="AU546" s="75"/>
      <c r="AV546" s="84"/>
      <c r="AW546" s="77"/>
      <c r="AX546" s="58"/>
      <c r="AY546" s="58"/>
      <c r="BB546" s="69"/>
      <c r="BC546" s="70"/>
      <c r="BD546" s="71"/>
      <c r="BE546" s="70">
        <v>332</v>
      </c>
      <c r="BF546" s="70">
        <v>33.2</v>
      </c>
      <c r="BG546" s="70">
        <v>30</v>
      </c>
      <c r="BH546" s="72" t="s">
        <v>29</v>
      </c>
      <c r="BI546" s="73"/>
      <c r="BJ546" s="74" t="s">
        <v>26</v>
      </c>
      <c r="BK546" s="57"/>
      <c r="BL546" s="49">
        <f>BB565+BL543+BL544-BL545-BE565-BF565</f>
        <v>2078</v>
      </c>
    </row>
    <row r="547" ht="15.75" spans="2:64">
      <c r="B547" s="69"/>
      <c r="C547" s="70"/>
      <c r="D547" s="71"/>
      <c r="E547" s="70">
        <v>630</v>
      </c>
      <c r="F547" s="70"/>
      <c r="G547" s="70">
        <v>140</v>
      </c>
      <c r="H547" s="72" t="s">
        <v>63</v>
      </c>
      <c r="I547" s="73"/>
      <c r="J547" s="74" t="s">
        <v>26</v>
      </c>
      <c r="K547" s="57"/>
      <c r="L547" s="49">
        <f>B571+L544+L545-L546-E571-F571</f>
        <v>2733.08</v>
      </c>
      <c r="O547" s="96"/>
      <c r="P547" s="97"/>
      <c r="Q547" s="98"/>
      <c r="R547" s="99"/>
      <c r="S547" s="98"/>
      <c r="T547" s="98"/>
      <c r="U547" s="100"/>
      <c r="V547" s="101"/>
      <c r="AB547" s="36"/>
      <c r="AC547" s="37"/>
      <c r="AD547" s="37"/>
      <c r="AE547" s="37"/>
      <c r="AF547" s="37"/>
      <c r="AG547" s="37"/>
      <c r="AH547" s="37"/>
      <c r="AI547" s="37"/>
      <c r="AJ547" s="37"/>
      <c r="AK547" s="37"/>
      <c r="AL547" s="38"/>
      <c r="AO547" s="69"/>
      <c r="AP547" s="70"/>
      <c r="AQ547" s="85"/>
      <c r="AR547" s="70">
        <v>137</v>
      </c>
      <c r="AS547" s="70"/>
      <c r="AT547" s="70"/>
      <c r="AU547" s="72"/>
      <c r="AV547" s="73"/>
      <c r="AW547" s="77"/>
      <c r="AX547" s="58"/>
      <c r="AY547" s="58"/>
      <c r="BB547" s="59"/>
      <c r="BC547" s="60"/>
      <c r="BD547" s="61"/>
      <c r="BE547" s="62">
        <v>428</v>
      </c>
      <c r="BF547" s="61"/>
      <c r="BG547" s="61"/>
      <c r="BH547" s="75"/>
      <c r="BI547" s="76"/>
      <c r="BJ547" s="77"/>
      <c r="BK547" s="78" t="s">
        <v>30</v>
      </c>
      <c r="BL547" s="79">
        <f>BL544/4</f>
        <v>60.175</v>
      </c>
    </row>
    <row r="548" ht="15.75" spans="2:64">
      <c r="B548" s="59"/>
      <c r="C548" s="60">
        <v>552</v>
      </c>
      <c r="D548" s="61">
        <v>48</v>
      </c>
      <c r="E548" s="62"/>
      <c r="F548" s="61"/>
      <c r="G548" s="61">
        <v>30</v>
      </c>
      <c r="H548" s="75" t="s">
        <v>97</v>
      </c>
      <c r="I548" s="76"/>
      <c r="J548" s="77"/>
      <c r="K548" s="78" t="s">
        <v>30</v>
      </c>
      <c r="L548" s="79">
        <f>L545/4</f>
        <v>173.4125</v>
      </c>
      <c r="O548" s="102">
        <f t="shared" ref="O548:T548" si="97">SUM(O525:O547)</f>
        <v>2274</v>
      </c>
      <c r="P548" s="103">
        <f t="shared" si="97"/>
        <v>910</v>
      </c>
      <c r="Q548" s="104">
        <f t="shared" si="97"/>
        <v>50</v>
      </c>
      <c r="R548" s="105">
        <f t="shared" si="97"/>
        <v>4968</v>
      </c>
      <c r="S548" s="106">
        <f t="shared" si="97"/>
        <v>527.35</v>
      </c>
      <c r="T548" s="107">
        <f t="shared" si="97"/>
        <v>1823</v>
      </c>
      <c r="U548" s="108" t="s">
        <v>54</v>
      </c>
      <c r="V548" s="109"/>
      <c r="AB548" s="39" t="s">
        <v>12</v>
      </c>
      <c r="AC548" s="40" t="s">
        <v>13</v>
      </c>
      <c r="AD548" s="41"/>
      <c r="AE548" s="42" t="s">
        <v>14</v>
      </c>
      <c r="AF548" s="43"/>
      <c r="AG548" s="44" t="s">
        <v>15</v>
      </c>
      <c r="AH548" s="45"/>
      <c r="AI548" s="46"/>
      <c r="AJ548" s="47" t="s">
        <v>16</v>
      </c>
      <c r="AK548" s="48"/>
      <c r="AL548" s="49">
        <f>AC582+AE582</f>
        <v>15390</v>
      </c>
      <c r="AO548" s="59"/>
      <c r="AP548" s="60">
        <v>350</v>
      </c>
      <c r="AQ548" s="61">
        <v>50</v>
      </c>
      <c r="AR548" s="62"/>
      <c r="AS548" s="61"/>
      <c r="AT548" s="61"/>
      <c r="AU548" s="75"/>
      <c r="AV548" s="84"/>
      <c r="AW548" s="77"/>
      <c r="AX548" s="58"/>
      <c r="AY548" s="58"/>
      <c r="BB548" s="69"/>
      <c r="BC548" s="70">
        <v>248</v>
      </c>
      <c r="BD548" s="71">
        <v>28</v>
      </c>
      <c r="BE548" s="70"/>
      <c r="BF548" s="70"/>
      <c r="BG548" s="70"/>
      <c r="BH548" s="72"/>
      <c r="BI548" s="73"/>
      <c r="BJ548" s="77"/>
      <c r="BK548" s="80" t="s">
        <v>34</v>
      </c>
      <c r="BL548" s="81">
        <f>BL544/6</f>
        <v>40.1166666666667</v>
      </c>
    </row>
    <row r="549" ht="15.75" spans="2:64">
      <c r="B549" s="69"/>
      <c r="C549" s="70"/>
      <c r="D549" s="71"/>
      <c r="E549" s="70">
        <v>784</v>
      </c>
      <c r="F549" s="70">
        <v>39.2</v>
      </c>
      <c r="G549" s="70">
        <v>116</v>
      </c>
      <c r="H549" s="72" t="s">
        <v>170</v>
      </c>
      <c r="I549" s="73"/>
      <c r="J549" s="77"/>
      <c r="K549" s="80" t="s">
        <v>34</v>
      </c>
      <c r="L549" s="81">
        <f>L545/6</f>
        <v>115.608333333333</v>
      </c>
      <c r="AB549" s="50"/>
      <c r="AC549" s="51" t="s">
        <v>17</v>
      </c>
      <c r="AD549" s="51" t="s">
        <v>18</v>
      </c>
      <c r="AE549" s="52" t="s">
        <v>17</v>
      </c>
      <c r="AF549" s="52" t="s">
        <v>18</v>
      </c>
      <c r="AG549" s="53"/>
      <c r="AH549" s="54"/>
      <c r="AI549" s="55"/>
      <c r="AJ549" s="56" t="s">
        <v>19</v>
      </c>
      <c r="AK549" s="57"/>
      <c r="AL549" s="49">
        <f>AD582+AF582</f>
        <v>1133.65</v>
      </c>
      <c r="AO549" s="69"/>
      <c r="AP549" s="70"/>
      <c r="AQ549" s="85"/>
      <c r="AR549" s="70">
        <v>142</v>
      </c>
      <c r="AS549" s="70"/>
      <c r="AT549" s="70"/>
      <c r="AU549" s="72"/>
      <c r="AV549" s="73"/>
      <c r="AW549" s="89" t="s">
        <v>44</v>
      </c>
      <c r="AX549" s="90" t="s">
        <v>45</v>
      </c>
      <c r="AY549" s="90" t="s">
        <v>46</v>
      </c>
      <c r="BB549" s="59"/>
      <c r="BC549" s="60"/>
      <c r="BD549" s="61"/>
      <c r="BE549" s="62">
        <v>535</v>
      </c>
      <c r="BF549" s="61">
        <v>53.5</v>
      </c>
      <c r="BG549" s="61"/>
      <c r="BH549" s="75"/>
      <c r="BI549" s="84"/>
      <c r="BJ549" s="77"/>
      <c r="BK549" s="82" t="s">
        <v>37</v>
      </c>
      <c r="BL549" s="83">
        <f>BL544/8</f>
        <v>30.0875</v>
      </c>
    </row>
    <row r="550" ht="15.75" spans="2:64">
      <c r="B550" s="59"/>
      <c r="C550" s="60"/>
      <c r="D550" s="61"/>
      <c r="E550" s="62">
        <v>731</v>
      </c>
      <c r="F550" s="61">
        <v>73.1</v>
      </c>
      <c r="G550" s="61">
        <v>218</v>
      </c>
      <c r="H550" s="75" t="s">
        <v>289</v>
      </c>
      <c r="I550" s="76"/>
      <c r="J550" s="77"/>
      <c r="K550" s="82" t="s">
        <v>37</v>
      </c>
      <c r="L550" s="83">
        <f>L545/8</f>
        <v>86.70625</v>
      </c>
      <c r="AB550" s="59">
        <v>2967</v>
      </c>
      <c r="AC550" s="60"/>
      <c r="AD550" s="61">
        <v>20</v>
      </c>
      <c r="AE550" s="62">
        <v>552</v>
      </c>
      <c r="AF550" s="61"/>
      <c r="AG550" s="61">
        <v>30</v>
      </c>
      <c r="AH550" s="63" t="s">
        <v>97</v>
      </c>
      <c r="AI550" s="64"/>
      <c r="AJ550" s="65" t="s">
        <v>21</v>
      </c>
      <c r="AK550" s="66"/>
      <c r="AL550" s="67">
        <f>AG582</f>
        <v>618.7</v>
      </c>
      <c r="AO550" s="59"/>
      <c r="AP550" s="60"/>
      <c r="AQ550" s="61"/>
      <c r="AR550" s="62">
        <v>423</v>
      </c>
      <c r="AS550" s="61">
        <v>21.15</v>
      </c>
      <c r="AT550" s="61"/>
      <c r="AU550" s="75"/>
      <c r="AV550" s="84"/>
      <c r="AW550" s="92" t="s">
        <v>47</v>
      </c>
      <c r="AX550" s="93" t="s">
        <v>51</v>
      </c>
      <c r="AY550" s="93" t="s">
        <v>43</v>
      </c>
      <c r="BB550" s="69"/>
      <c r="BC550" s="70">
        <v>674</v>
      </c>
      <c r="BD550" s="85">
        <v>36</v>
      </c>
      <c r="BE550" s="70"/>
      <c r="BF550" s="70"/>
      <c r="BG550" s="70"/>
      <c r="BH550" s="72"/>
      <c r="BI550" s="73"/>
      <c r="BJ550" s="86"/>
      <c r="BK550" s="77"/>
      <c r="BL550" s="87"/>
    </row>
    <row r="551" ht="15.75" spans="2:64">
      <c r="B551" s="69"/>
      <c r="C551" s="70"/>
      <c r="D551" s="85"/>
      <c r="E551" s="70">
        <v>300</v>
      </c>
      <c r="F551" s="70">
        <v>30</v>
      </c>
      <c r="G551" s="70">
        <v>29.92</v>
      </c>
      <c r="H551" s="72" t="s">
        <v>290</v>
      </c>
      <c r="I551" s="73"/>
      <c r="J551" s="86"/>
      <c r="K551" s="77"/>
      <c r="L551" s="87"/>
      <c r="O551" s="33" t="s">
        <v>291</v>
      </c>
      <c r="P551" s="34"/>
      <c r="Q551" s="34"/>
      <c r="R551" s="34"/>
      <c r="S551" s="34"/>
      <c r="T551" s="34"/>
      <c r="U551" s="34"/>
      <c r="V551" s="34"/>
      <c r="W551" s="34"/>
      <c r="X551" s="34"/>
      <c r="Y551" s="35"/>
      <c r="AB551" s="69"/>
      <c r="AC551" s="70">
        <v>570</v>
      </c>
      <c r="AD551" s="71">
        <v>60</v>
      </c>
      <c r="AE551" s="70"/>
      <c r="AF551" s="70"/>
      <c r="AG551" s="70">
        <v>140</v>
      </c>
      <c r="AH551" s="72" t="s">
        <v>143</v>
      </c>
      <c r="AI551" s="73"/>
      <c r="AJ551" s="74" t="s">
        <v>26</v>
      </c>
      <c r="AK551" s="57"/>
      <c r="AL551" s="49">
        <f>AB582+AL548+AL549-AL550-AE582-AF582</f>
        <v>8480.8</v>
      </c>
      <c r="AO551" s="69"/>
      <c r="AP551" s="70">
        <v>110</v>
      </c>
      <c r="AQ551" s="85">
        <v>20</v>
      </c>
      <c r="AR551" s="70"/>
      <c r="AS551" s="70"/>
      <c r="AT551" s="70"/>
      <c r="AU551" s="72"/>
      <c r="AV551" s="73"/>
      <c r="AW551" s="94" t="s">
        <v>52</v>
      </c>
      <c r="AX551" s="95" t="s">
        <v>27</v>
      </c>
      <c r="AY551" s="95" t="s">
        <v>67</v>
      </c>
      <c r="BB551" s="59"/>
      <c r="BC551" s="60">
        <v>300</v>
      </c>
      <c r="BD551" s="61">
        <v>50</v>
      </c>
      <c r="BE551" s="62"/>
      <c r="BF551" s="61"/>
      <c r="BG551" s="61"/>
      <c r="BH551" s="75"/>
      <c r="BI551" s="84"/>
      <c r="BJ551" s="77"/>
      <c r="BK551" s="58"/>
      <c r="BL551" s="58"/>
    </row>
    <row r="552" ht="15.75" spans="2:64">
      <c r="B552" s="59"/>
      <c r="C552" s="60">
        <v>388</v>
      </c>
      <c r="D552" s="61">
        <v>40</v>
      </c>
      <c r="E552" s="62"/>
      <c r="F552" s="61"/>
      <c r="G552" s="61"/>
      <c r="H552" s="75"/>
      <c r="I552" s="76"/>
      <c r="J552" s="77"/>
      <c r="K552" s="58"/>
      <c r="L552" s="58"/>
      <c r="O552" s="36"/>
      <c r="P552" s="37"/>
      <c r="Q552" s="37"/>
      <c r="R552" s="37"/>
      <c r="S552" s="37"/>
      <c r="T552" s="37"/>
      <c r="U552" s="37"/>
      <c r="V552" s="37"/>
      <c r="W552" s="37"/>
      <c r="X552" s="37"/>
      <c r="Y552" s="38"/>
      <c r="AB552" s="59"/>
      <c r="AC552" s="60">
        <v>16</v>
      </c>
      <c r="AD552" s="61"/>
      <c r="AE552" s="62"/>
      <c r="AF552" s="61"/>
      <c r="AG552" s="61">
        <v>25</v>
      </c>
      <c r="AH552" s="75" t="s">
        <v>29</v>
      </c>
      <c r="AI552" s="76"/>
      <c r="AJ552" s="77"/>
      <c r="AK552" s="78" t="s">
        <v>30</v>
      </c>
      <c r="AL552" s="79">
        <f>AL549/4</f>
        <v>283.4125</v>
      </c>
      <c r="AO552" s="59"/>
      <c r="AP552" s="60" t="s">
        <v>125</v>
      </c>
      <c r="AQ552" s="61"/>
      <c r="AR552" s="62"/>
      <c r="AS552" s="61"/>
      <c r="AT552" s="61"/>
      <c r="AU552" s="75"/>
      <c r="AV552" s="84"/>
      <c r="AW552" s="77"/>
      <c r="AX552" s="77"/>
      <c r="AY552" s="87"/>
      <c r="BB552" s="69"/>
      <c r="BC552" s="70"/>
      <c r="BD552" s="85"/>
      <c r="BE552" s="70"/>
      <c r="BF552" s="70"/>
      <c r="BG552" s="70"/>
      <c r="BH552" s="72"/>
      <c r="BI552" s="73"/>
      <c r="BJ552" s="77"/>
      <c r="BK552" s="58"/>
      <c r="BL552" s="58"/>
    </row>
    <row r="553" ht="15.75" spans="2:64">
      <c r="B553" s="69"/>
      <c r="C553" s="70"/>
      <c r="D553" s="71"/>
      <c r="E553" s="70">
        <v>388</v>
      </c>
      <c r="F553" s="70">
        <v>38.8</v>
      </c>
      <c r="G553" s="70"/>
      <c r="H553" s="72"/>
      <c r="I553" s="73"/>
      <c r="J553" s="77"/>
      <c r="K553" s="58"/>
      <c r="L553" s="58"/>
      <c r="O553" s="39" t="s">
        <v>12</v>
      </c>
      <c r="P553" s="40" t="s">
        <v>13</v>
      </c>
      <c r="Q553" s="41"/>
      <c r="R553" s="42" t="s">
        <v>14</v>
      </c>
      <c r="S553" s="43"/>
      <c r="T553" s="44" t="s">
        <v>15</v>
      </c>
      <c r="U553" s="45"/>
      <c r="V553" s="46"/>
      <c r="W553" s="47" t="s">
        <v>16</v>
      </c>
      <c r="X553" s="48"/>
      <c r="Y553" s="49">
        <f>P581+R581</f>
        <v>7135</v>
      </c>
      <c r="AB553" s="69"/>
      <c r="AC553" s="70">
        <v>464</v>
      </c>
      <c r="AD553" s="71">
        <v>22</v>
      </c>
      <c r="AE553" s="70"/>
      <c r="AF553" s="70"/>
      <c r="AG553" s="70">
        <v>154.9</v>
      </c>
      <c r="AH553" s="72" t="s">
        <v>148</v>
      </c>
      <c r="AI553" s="73"/>
      <c r="AJ553" s="77"/>
      <c r="AK553" s="80" t="s">
        <v>34</v>
      </c>
      <c r="AL553" s="81">
        <f>AL549/6</f>
        <v>188.941666666667</v>
      </c>
      <c r="AO553" s="69"/>
      <c r="AP553" s="70"/>
      <c r="AQ553" s="85"/>
      <c r="AR553" s="70"/>
      <c r="AS553" s="70"/>
      <c r="AT553" s="70"/>
      <c r="AU553" s="72"/>
      <c r="AV553" s="73"/>
      <c r="AW553" s="58"/>
      <c r="AX553" s="58"/>
      <c r="AY553" s="58"/>
      <c r="BB553" s="59"/>
      <c r="BC553" s="60"/>
      <c r="BD553" s="61"/>
      <c r="BE553" s="62"/>
      <c r="BF553" s="61"/>
      <c r="BG553" s="61"/>
      <c r="BH553" s="75"/>
      <c r="BI553" s="84"/>
      <c r="BJ553" s="77"/>
      <c r="BK553" s="58"/>
      <c r="BL553" s="58"/>
    </row>
    <row r="554" ht="15.75" spans="2:64">
      <c r="B554" s="59"/>
      <c r="C554" s="60">
        <v>230</v>
      </c>
      <c r="D554" s="88">
        <v>20</v>
      </c>
      <c r="E554" s="62"/>
      <c r="F554" s="61"/>
      <c r="G554" s="61"/>
      <c r="H554" s="75"/>
      <c r="I554" s="76"/>
      <c r="J554" s="77"/>
      <c r="K554" s="58"/>
      <c r="L554" s="58"/>
      <c r="O554" s="50"/>
      <c r="P554" s="51" t="s">
        <v>17</v>
      </c>
      <c r="Q554" s="51" t="s">
        <v>18</v>
      </c>
      <c r="R554" s="52" t="s">
        <v>17</v>
      </c>
      <c r="S554" s="52" t="s">
        <v>18</v>
      </c>
      <c r="T554" s="53"/>
      <c r="U554" s="54"/>
      <c r="V554" s="55"/>
      <c r="W554" s="56" t="s">
        <v>19</v>
      </c>
      <c r="X554" s="57"/>
      <c r="Y554" s="49">
        <f>Q581+S581</f>
        <v>597.35</v>
      </c>
      <c r="AB554" s="59"/>
      <c r="AC554" s="60">
        <v>354</v>
      </c>
      <c r="AD554" s="61"/>
      <c r="AE554" s="62"/>
      <c r="AF554" s="61"/>
      <c r="AG554" s="61">
        <v>63</v>
      </c>
      <c r="AH554" s="75" t="s">
        <v>292</v>
      </c>
      <c r="AI554" s="76"/>
      <c r="AJ554" s="77"/>
      <c r="AK554" s="82" t="s">
        <v>37</v>
      </c>
      <c r="AL554" s="83">
        <f>AL549/8</f>
        <v>141.70625</v>
      </c>
      <c r="AO554" s="59"/>
      <c r="AP554" s="60"/>
      <c r="AQ554" s="61"/>
      <c r="AR554" s="62"/>
      <c r="AS554" s="61"/>
      <c r="AT554" s="61"/>
      <c r="AU554" s="75"/>
      <c r="AV554" s="84"/>
      <c r="AW554" s="58"/>
      <c r="AX554" s="58"/>
      <c r="AY554" s="58"/>
      <c r="BB554" s="69"/>
      <c r="BC554" s="70"/>
      <c r="BD554" s="85"/>
      <c r="BE554" s="70"/>
      <c r="BF554" s="70"/>
      <c r="BG554" s="70"/>
      <c r="BH554" s="72"/>
      <c r="BI554" s="73"/>
      <c r="BJ554" s="89" t="s">
        <v>44</v>
      </c>
      <c r="BK554" s="90" t="s">
        <v>45</v>
      </c>
      <c r="BL554" s="90" t="s">
        <v>46</v>
      </c>
    </row>
    <row r="555" ht="15.75" spans="2:64">
      <c r="B555" s="69"/>
      <c r="C555" s="70"/>
      <c r="D555" s="71">
        <v>130</v>
      </c>
      <c r="E555" s="70">
        <v>660</v>
      </c>
      <c r="F555" s="70"/>
      <c r="G555" s="70"/>
      <c r="H555" s="72"/>
      <c r="I555" s="73"/>
      <c r="J555" s="89" t="s">
        <v>44</v>
      </c>
      <c r="K555" s="90" t="s">
        <v>45</v>
      </c>
      <c r="L555" s="90" t="s">
        <v>46</v>
      </c>
      <c r="O555" s="59">
        <v>622</v>
      </c>
      <c r="P555">
        <v>176</v>
      </c>
      <c r="Q555" s="61"/>
      <c r="R555" s="60"/>
      <c r="S555" s="61"/>
      <c r="T555" s="61">
        <v>150</v>
      </c>
      <c r="U555" s="63" t="s">
        <v>293</v>
      </c>
      <c r="V555" s="64"/>
      <c r="W555" s="65" t="s">
        <v>21</v>
      </c>
      <c r="X555" s="66"/>
      <c r="Y555" s="67">
        <f>T581</f>
        <v>210</v>
      </c>
      <c r="AB555" s="69"/>
      <c r="AC555" s="70"/>
      <c r="AD555" s="85"/>
      <c r="AE555" s="70">
        <v>460</v>
      </c>
      <c r="AF555" s="70">
        <v>46</v>
      </c>
      <c r="AG555" s="70">
        <v>75</v>
      </c>
      <c r="AH555" s="72" t="s">
        <v>294</v>
      </c>
      <c r="AI555" s="73"/>
      <c r="AJ555" s="86"/>
      <c r="AK555" s="77"/>
      <c r="AL555" s="87"/>
      <c r="AO555" s="69"/>
      <c r="AP555" s="70"/>
      <c r="AQ555" s="85"/>
      <c r="AR555" s="70"/>
      <c r="AS555" s="70"/>
      <c r="AT555" s="70"/>
      <c r="AU555" s="72"/>
      <c r="AV555" s="73"/>
      <c r="AW555" s="58"/>
      <c r="AX555" s="58"/>
      <c r="AY555" s="58"/>
      <c r="BB555" s="59"/>
      <c r="BC555" s="60"/>
      <c r="BD555" s="61"/>
      <c r="BE555" s="62"/>
      <c r="BF555" s="61"/>
      <c r="BG555" s="61"/>
      <c r="BH555" s="75"/>
      <c r="BI555" s="84"/>
      <c r="BJ555" s="92" t="s">
        <v>47</v>
      </c>
      <c r="BK555" s="93" t="s">
        <v>27</v>
      </c>
      <c r="BL555" s="93" t="s">
        <v>43</v>
      </c>
    </row>
    <row r="556" ht="15.75" spans="2:64">
      <c r="B556" s="59"/>
      <c r="C556" s="60"/>
      <c r="D556" s="61">
        <v>50</v>
      </c>
      <c r="E556" s="62">
        <v>506</v>
      </c>
      <c r="F556" s="61"/>
      <c r="G556" s="61"/>
      <c r="H556" s="75"/>
      <c r="I556" s="76"/>
      <c r="J556" s="92" t="s">
        <v>47</v>
      </c>
      <c r="K556" s="93" t="s">
        <v>48</v>
      </c>
      <c r="L556" s="93" t="s">
        <v>223</v>
      </c>
      <c r="O556" s="69"/>
      <c r="P556" s="70">
        <v>580</v>
      </c>
      <c r="Q556" s="71">
        <v>40</v>
      </c>
      <c r="R556" s="70"/>
      <c r="S556" s="71"/>
      <c r="T556" s="70">
        <v>60</v>
      </c>
      <c r="U556" s="72" t="s">
        <v>29</v>
      </c>
      <c r="V556" s="73"/>
      <c r="W556" s="74" t="s">
        <v>26</v>
      </c>
      <c r="X556" s="57"/>
      <c r="Y556" s="49">
        <f>O581+Y553+Y554-Y555-R581-S581</f>
        <v>3197</v>
      </c>
      <c r="AB556" s="59"/>
      <c r="AC556" s="60"/>
      <c r="AD556" s="61"/>
      <c r="AE556" s="62">
        <v>25</v>
      </c>
      <c r="AF556" s="61"/>
      <c r="AG556" s="61">
        <v>55.8</v>
      </c>
      <c r="AH556" s="75" t="s">
        <v>295</v>
      </c>
      <c r="AI556" s="76"/>
      <c r="AJ556" s="77"/>
      <c r="AK556" s="58"/>
      <c r="AL556" s="58"/>
      <c r="AO556" s="59"/>
      <c r="AP556" s="60"/>
      <c r="AQ556" s="61"/>
      <c r="AR556" s="62"/>
      <c r="AS556" s="61"/>
      <c r="AT556" s="61"/>
      <c r="AU556" s="75"/>
      <c r="AV556" s="84"/>
      <c r="AW556" s="58"/>
      <c r="AX556" s="58"/>
      <c r="AY556" s="58"/>
      <c r="BB556" s="69"/>
      <c r="BC556" s="70"/>
      <c r="BD556" s="85"/>
      <c r="BE556" s="70"/>
      <c r="BF556" s="70"/>
      <c r="BG556" s="70"/>
      <c r="BH556" s="72"/>
      <c r="BI556" s="73"/>
      <c r="BJ556" s="94" t="s">
        <v>52</v>
      </c>
      <c r="BK556" s="95" t="s">
        <v>48</v>
      </c>
      <c r="BL556" s="95" t="s">
        <v>65</v>
      </c>
    </row>
    <row r="557" spans="2:64">
      <c r="B557" s="69"/>
      <c r="C557" s="70"/>
      <c r="D557" s="71"/>
      <c r="E557" s="70">
        <v>300</v>
      </c>
      <c r="F557" s="70">
        <v>30</v>
      </c>
      <c r="G557" s="70"/>
      <c r="H557" s="72"/>
      <c r="I557" s="73"/>
      <c r="J557" s="94" t="s">
        <v>52</v>
      </c>
      <c r="K557" s="95" t="s">
        <v>27</v>
      </c>
      <c r="L557" s="95" t="s">
        <v>43</v>
      </c>
      <c r="O557" s="59"/>
      <c r="P557" s="60"/>
      <c r="Q557" s="60"/>
      <c r="R557" s="60">
        <v>203</v>
      </c>
      <c r="S557" s="61">
        <v>20.3</v>
      </c>
      <c r="T557" s="61"/>
      <c r="U557" s="75"/>
      <c r="V557" s="76"/>
      <c r="W557" s="77"/>
      <c r="X557" s="78" t="s">
        <v>30</v>
      </c>
      <c r="Y557" s="79">
        <f>Y554/4</f>
        <v>149.3375</v>
      </c>
      <c r="AB557" s="69"/>
      <c r="AC557" s="70">
        <v>783</v>
      </c>
      <c r="AD557" s="71">
        <v>40</v>
      </c>
      <c r="AE557" s="70"/>
      <c r="AF557" s="70"/>
      <c r="AG557" s="70">
        <v>30</v>
      </c>
      <c r="AH557" s="72" t="s">
        <v>29</v>
      </c>
      <c r="AI557" s="73"/>
      <c r="AJ557" s="77"/>
      <c r="AK557" s="58"/>
      <c r="AL557" s="58"/>
      <c r="AO557" s="69"/>
      <c r="AP557" s="70"/>
      <c r="AQ557" s="85"/>
      <c r="AR557" s="70"/>
      <c r="AS557" s="70"/>
      <c r="AT557" s="70"/>
      <c r="AU557" s="72"/>
      <c r="AV557" s="73"/>
      <c r="AW557" s="58"/>
      <c r="AX557" s="58"/>
      <c r="AY557" s="58"/>
      <c r="BB557" s="59"/>
      <c r="BC557" s="60"/>
      <c r="BD557" s="61"/>
      <c r="BE557" s="62"/>
      <c r="BF557" s="61"/>
      <c r="BG557" s="61"/>
      <c r="BH557" s="75"/>
      <c r="BI557" s="84"/>
      <c r="BJ557" s="77"/>
      <c r="BK557" s="77"/>
      <c r="BL557" s="87"/>
    </row>
    <row r="558" spans="2:64">
      <c r="B558" s="59"/>
      <c r="C558" s="60">
        <v>242</v>
      </c>
      <c r="D558" s="61"/>
      <c r="E558" s="62"/>
      <c r="F558" s="61"/>
      <c r="G558" s="61"/>
      <c r="H558" s="75"/>
      <c r="I558" s="76"/>
      <c r="J558" s="77"/>
      <c r="K558" s="77"/>
      <c r="L558" s="87"/>
      <c r="O558" s="69"/>
      <c r="P558" s="70"/>
      <c r="Q558" s="71"/>
      <c r="R558" s="70">
        <v>336</v>
      </c>
      <c r="S558" s="70">
        <v>33.6</v>
      </c>
      <c r="T558" s="70"/>
      <c r="U558" s="72"/>
      <c r="V558" s="73"/>
      <c r="W558" s="77"/>
      <c r="X558" s="80" t="s">
        <v>34</v>
      </c>
      <c r="Y558" s="81">
        <f>Y554/6</f>
        <v>99.5583333333333</v>
      </c>
      <c r="AB558" s="59"/>
      <c r="AC558" s="60">
        <v>137</v>
      </c>
      <c r="AD558" s="88"/>
      <c r="AE558" s="62"/>
      <c r="AF558" s="61"/>
      <c r="AG558" s="61">
        <v>45</v>
      </c>
      <c r="AH558" s="75" t="s">
        <v>296</v>
      </c>
      <c r="AI558" s="76"/>
      <c r="AJ558" s="77"/>
      <c r="AK558" s="58"/>
      <c r="AL558" s="58"/>
      <c r="AO558" s="59"/>
      <c r="AP558" s="60"/>
      <c r="AQ558" s="61"/>
      <c r="AR558" s="62"/>
      <c r="AS558" s="61"/>
      <c r="AT558" s="61"/>
      <c r="AU558" s="75"/>
      <c r="AV558" s="84"/>
      <c r="AW558" s="58"/>
      <c r="AX558" s="58"/>
      <c r="AY558" s="58"/>
      <c r="BB558" s="69"/>
      <c r="BC558" s="70"/>
      <c r="BD558" s="85"/>
      <c r="BE558" s="70"/>
      <c r="BF558" s="70"/>
      <c r="BG558" s="70"/>
      <c r="BH558" s="72"/>
      <c r="BI558" s="73"/>
      <c r="BJ558" s="58"/>
      <c r="BK558" s="58"/>
      <c r="BL558" s="58"/>
    </row>
    <row r="559" spans="2:64">
      <c r="B559" s="69"/>
      <c r="C559" s="70">
        <v>137</v>
      </c>
      <c r="D559" s="71"/>
      <c r="E559" s="70"/>
      <c r="F559" s="70"/>
      <c r="G559" s="70"/>
      <c r="H559" s="72"/>
      <c r="I559" s="73"/>
      <c r="J559" s="58"/>
      <c r="K559" s="58"/>
      <c r="L559" s="58"/>
      <c r="O559" s="59"/>
      <c r="P559">
        <v>110</v>
      </c>
      <c r="Q559" s="61"/>
      <c r="R559" s="62"/>
      <c r="S559" s="61"/>
      <c r="T559" s="61"/>
      <c r="U559" s="75"/>
      <c r="V559" s="76"/>
      <c r="W559" s="77"/>
      <c r="X559" s="82" t="s">
        <v>37</v>
      </c>
      <c r="Y559" s="83">
        <f>Y554/8</f>
        <v>74.66875</v>
      </c>
      <c r="AB559" s="69"/>
      <c r="AC559" s="70"/>
      <c r="AD559" s="71"/>
      <c r="AE559" s="70">
        <v>711</v>
      </c>
      <c r="AF559" s="70">
        <v>89</v>
      </c>
      <c r="AG559" s="70"/>
      <c r="AH559" s="72"/>
      <c r="AI559" s="73"/>
      <c r="AJ559" s="89" t="s">
        <v>44</v>
      </c>
      <c r="AK559" s="90" t="s">
        <v>45</v>
      </c>
      <c r="AL559" s="90" t="s">
        <v>46</v>
      </c>
      <c r="AO559" s="96"/>
      <c r="AP559" s="97"/>
      <c r="AQ559" s="98"/>
      <c r="AR559" s="99"/>
      <c r="AS559" s="98"/>
      <c r="AT559" s="98"/>
      <c r="AU559" s="72"/>
      <c r="AV559" s="73"/>
      <c r="BB559" s="59"/>
      <c r="BC559" s="60"/>
      <c r="BD559" s="61"/>
      <c r="BE559" s="62"/>
      <c r="BF559" s="61"/>
      <c r="BG559" s="61"/>
      <c r="BH559" s="75"/>
      <c r="BI559" s="76"/>
    </row>
    <row r="560" spans="2:64">
      <c r="B560" s="59"/>
      <c r="C560" s="60"/>
      <c r="D560" s="61"/>
      <c r="E560" s="62">
        <v>142</v>
      </c>
      <c r="F560" s="61"/>
      <c r="G560" s="61"/>
      <c r="H560" s="75"/>
      <c r="I560" s="76"/>
      <c r="J560" s="58"/>
      <c r="K560" s="58"/>
      <c r="L560" s="58"/>
      <c r="O560" s="69"/>
      <c r="P560" s="60"/>
      <c r="Q560" s="85"/>
      <c r="R560" s="70">
        <v>416</v>
      </c>
      <c r="S560" s="70"/>
      <c r="T560" s="70"/>
      <c r="U560" s="72"/>
      <c r="V560" s="73"/>
      <c r="W560" s="86"/>
      <c r="X560" s="77"/>
      <c r="Y560" s="87"/>
      <c r="AB560" s="59"/>
      <c r="AC560" s="60"/>
      <c r="AD560" s="61"/>
      <c r="AE560" s="62">
        <v>447</v>
      </c>
      <c r="AF560" s="61">
        <v>67.05</v>
      </c>
      <c r="AG560" s="61"/>
      <c r="AH560" s="75"/>
      <c r="AI560" s="76"/>
      <c r="AJ560" s="92" t="s">
        <v>47</v>
      </c>
      <c r="AK560" s="93" t="s">
        <v>48</v>
      </c>
      <c r="AL560" s="93" t="s">
        <v>65</v>
      </c>
      <c r="AO560" s="59"/>
      <c r="AP560" s="60"/>
      <c r="AQ560" s="61"/>
      <c r="AR560" s="62"/>
      <c r="AS560" s="61"/>
      <c r="AT560" s="61"/>
      <c r="AU560" s="75"/>
      <c r="AV560" s="76"/>
      <c r="BB560" s="96"/>
      <c r="BC560" s="97"/>
      <c r="BD560" s="98"/>
      <c r="BE560" s="99"/>
      <c r="BF560" s="98"/>
      <c r="BG560" s="98"/>
      <c r="BH560" s="72"/>
      <c r="BI560" s="73"/>
    </row>
    <row r="561" ht="15.75" spans="2:64">
      <c r="B561" s="69"/>
      <c r="C561" s="71"/>
      <c r="D561" s="71">
        <v>20</v>
      </c>
      <c r="E561" s="70">
        <v>95</v>
      </c>
      <c r="F561" s="70"/>
      <c r="G561" s="70"/>
      <c r="H561" s="72"/>
      <c r="I561" s="73"/>
      <c r="J561" s="58"/>
      <c r="K561" s="58"/>
      <c r="L561" s="58"/>
      <c r="O561" s="59"/>
      <c r="P561" s="60">
        <v>165</v>
      </c>
      <c r="Q561" s="61">
        <v>25</v>
      </c>
      <c r="R561" s="62"/>
      <c r="S561" s="61"/>
      <c r="T561" s="61"/>
      <c r="U561" s="75"/>
      <c r="V561" s="76"/>
      <c r="W561" s="77"/>
      <c r="X561" s="58"/>
      <c r="Y561" s="58"/>
      <c r="AB561" s="69"/>
      <c r="AC561" s="70"/>
      <c r="AD561" s="71"/>
      <c r="AE561" s="70">
        <v>1017</v>
      </c>
      <c r="AF561" s="70"/>
      <c r="AG561" s="70"/>
      <c r="AH561" s="72"/>
      <c r="AI561" s="73"/>
      <c r="AJ561" s="94" t="s">
        <v>52</v>
      </c>
      <c r="AK561" s="95" t="s">
        <v>27</v>
      </c>
      <c r="AL561" s="95" t="s">
        <v>43</v>
      </c>
      <c r="AO561" s="96"/>
      <c r="AP561" s="97"/>
      <c r="AQ561" s="98"/>
      <c r="AR561" s="99"/>
      <c r="AS561" s="98"/>
      <c r="AT561" s="98"/>
      <c r="AU561" s="72"/>
      <c r="AV561" s="73"/>
      <c r="BB561" s="59"/>
      <c r="BC561" s="60"/>
      <c r="BD561" s="61"/>
      <c r="BE561" s="62"/>
      <c r="BF561" s="61"/>
      <c r="BG561" s="61"/>
      <c r="BH561" s="75"/>
      <c r="BI561" s="76"/>
    </row>
    <row r="562" ht="15.75" spans="2:64">
      <c r="B562" s="59"/>
      <c r="C562" s="61"/>
      <c r="D562" s="61"/>
      <c r="E562" s="62">
        <v>297</v>
      </c>
      <c r="F562" s="61">
        <v>44.55</v>
      </c>
      <c r="G562" s="61"/>
      <c r="H562" s="75"/>
      <c r="I562" s="76"/>
      <c r="J562" s="58"/>
      <c r="K562" s="58"/>
      <c r="L562" s="58"/>
      <c r="O562" s="69"/>
      <c r="P562" s="70"/>
      <c r="Q562" s="71"/>
      <c r="R562" s="70">
        <v>581</v>
      </c>
      <c r="S562" s="70">
        <v>58.1</v>
      </c>
      <c r="T562" s="70"/>
      <c r="U562" s="72"/>
      <c r="V562" s="73"/>
      <c r="W562" s="77"/>
      <c r="X562" s="58"/>
      <c r="Y562" s="58"/>
      <c r="AB562" s="59"/>
      <c r="AC562" s="60"/>
      <c r="AD562" s="61"/>
      <c r="AE562" s="62">
        <v>2271</v>
      </c>
      <c r="AF562" s="61">
        <v>227.1</v>
      </c>
      <c r="AG562" s="61"/>
      <c r="AH562" s="75"/>
      <c r="AI562" s="76"/>
      <c r="AJ562" s="77"/>
      <c r="AK562" s="77"/>
      <c r="AL562" s="87"/>
      <c r="AO562" s="102">
        <f t="shared" ref="AO562:AT562" si="98">SUM(AO540:AO561)</f>
        <v>4971</v>
      </c>
      <c r="AP562" s="103">
        <f t="shared" si="98"/>
        <v>1053</v>
      </c>
      <c r="AQ562" s="104">
        <f t="shared" si="98"/>
        <v>120</v>
      </c>
      <c r="AR562" s="105">
        <f t="shared" si="98"/>
        <v>2970</v>
      </c>
      <c r="AS562" s="106">
        <f t="shared" si="98"/>
        <v>219.55</v>
      </c>
      <c r="AT562" s="107">
        <f t="shared" si="98"/>
        <v>4721</v>
      </c>
      <c r="AU562" s="108" t="s">
        <v>54</v>
      </c>
      <c r="AV562" s="109"/>
      <c r="BB562" s="96"/>
      <c r="BC562" s="97"/>
      <c r="BD562" s="98"/>
      <c r="BE562" s="99"/>
      <c r="BF562" s="98"/>
      <c r="BG562" s="98"/>
      <c r="BH562" s="72"/>
      <c r="BI562" s="73"/>
    </row>
    <row r="563" spans="2:64">
      <c r="B563" s="69"/>
      <c r="C563" s="70">
        <v>570</v>
      </c>
      <c r="D563" s="71">
        <v>130</v>
      </c>
      <c r="E563" s="70">
        <v>350</v>
      </c>
      <c r="F563" s="70"/>
      <c r="G563" s="70"/>
      <c r="H563" s="72"/>
      <c r="I563" s="73"/>
      <c r="J563" s="58"/>
      <c r="K563" s="58"/>
      <c r="L563" s="58"/>
      <c r="O563" s="59"/>
      <c r="P563" s="60">
        <v>460</v>
      </c>
      <c r="Q563" s="88">
        <v>40</v>
      </c>
      <c r="R563" s="62"/>
      <c r="S563" s="61"/>
      <c r="T563" s="61"/>
      <c r="U563" s="75"/>
      <c r="V563" s="76"/>
      <c r="W563" s="77"/>
      <c r="X563" s="58"/>
      <c r="Y563" s="58"/>
      <c r="AB563" s="69"/>
      <c r="AC563" s="70">
        <v>170</v>
      </c>
      <c r="AD563" s="71">
        <v>30</v>
      </c>
      <c r="AE563" s="70"/>
      <c r="AF563" s="70"/>
      <c r="AG563" s="70"/>
      <c r="AH563" s="72"/>
      <c r="AI563" s="73"/>
      <c r="AJ563" s="58"/>
      <c r="AK563" s="58"/>
      <c r="AL563" s="58"/>
      <c r="BB563" s="59"/>
      <c r="BC563" s="60"/>
      <c r="BD563" s="61"/>
      <c r="BE563" s="62"/>
      <c r="BF563" s="61"/>
      <c r="BG563" s="61"/>
      <c r="BH563" s="75"/>
      <c r="BI563" s="76"/>
    </row>
    <row r="564" ht="15.75" spans="2:64">
      <c r="B564" s="59"/>
      <c r="C564" s="60"/>
      <c r="D564" s="61"/>
      <c r="E564" s="62"/>
      <c r="F564" s="61"/>
      <c r="G564" s="61"/>
      <c r="H564" s="75"/>
      <c r="I564" s="76"/>
      <c r="O564" s="69"/>
      <c r="P564" s="70"/>
      <c r="Q564" s="71">
        <v>40</v>
      </c>
      <c r="R564" s="70">
        <v>567</v>
      </c>
      <c r="S564" s="70"/>
      <c r="T564" s="70"/>
      <c r="U564" s="72"/>
      <c r="V564" s="73"/>
      <c r="W564" s="89" t="s">
        <v>44</v>
      </c>
      <c r="X564" s="90" t="s">
        <v>45</v>
      </c>
      <c r="Y564" s="90" t="s">
        <v>46</v>
      </c>
      <c r="AB564" s="59"/>
      <c r="AC564" s="60">
        <v>30</v>
      </c>
      <c r="AD564" s="61"/>
      <c r="AE564" s="62"/>
      <c r="AF564" s="61"/>
      <c r="AG564" s="61"/>
      <c r="AH564" s="75"/>
      <c r="AI564" s="76"/>
      <c r="AJ564" s="58"/>
      <c r="AK564" s="58"/>
      <c r="AL564" s="58"/>
      <c r="BB564" s="96"/>
      <c r="BC564" s="97"/>
      <c r="BD564" s="98"/>
      <c r="BE564" s="99"/>
      <c r="BF564" s="98"/>
      <c r="BG564" s="98"/>
      <c r="BH564" s="72"/>
      <c r="BI564" s="73"/>
    </row>
    <row r="565" ht="15.75" spans="2:64">
      <c r="B565" s="69"/>
      <c r="C565" s="112"/>
      <c r="D565" s="71"/>
      <c r="E565" s="58"/>
      <c r="F565" s="70"/>
      <c r="G565" s="70"/>
      <c r="H565" s="72"/>
      <c r="I565" s="73"/>
      <c r="O565" s="59"/>
      <c r="P565" s="60">
        <v>176</v>
      </c>
      <c r="Q565" s="61"/>
      <c r="R565" s="62"/>
      <c r="S565" s="61"/>
      <c r="T565" s="61"/>
      <c r="U565" s="75"/>
      <c r="V565" s="76"/>
      <c r="W565" s="92" t="s">
        <v>47</v>
      </c>
      <c r="X565" s="93" t="s">
        <v>48</v>
      </c>
      <c r="Y565" s="93" t="s">
        <v>65</v>
      </c>
      <c r="AB565" s="69"/>
      <c r="AC565" s="71">
        <v>256</v>
      </c>
      <c r="AD565" s="71">
        <v>20</v>
      </c>
      <c r="AE565" s="70"/>
      <c r="AF565" s="70"/>
      <c r="AG565" s="70"/>
      <c r="AH565" s="72"/>
      <c r="AI565" s="73"/>
      <c r="AJ565" s="58"/>
      <c r="AK565" s="58"/>
      <c r="AL565" s="58"/>
      <c r="AO565" s="33" t="s">
        <v>297</v>
      </c>
      <c r="AP565" s="34"/>
      <c r="AQ565" s="34"/>
      <c r="AR565" s="34"/>
      <c r="AS565" s="34"/>
      <c r="AT565" s="34"/>
      <c r="AU565" s="34"/>
      <c r="AV565" s="34"/>
      <c r="AW565" s="34"/>
      <c r="AX565" s="34"/>
      <c r="AY565" s="35"/>
      <c r="BB565" s="102">
        <f t="shared" ref="BB565:BG565" si="99">SUM(BB545:BB564)</f>
        <v>542</v>
      </c>
      <c r="BC565" s="103">
        <f t="shared" si="99"/>
        <v>1442</v>
      </c>
      <c r="BD565" s="104">
        <f t="shared" si="99"/>
        <v>154</v>
      </c>
      <c r="BE565" s="105">
        <f t="shared" si="99"/>
        <v>1295</v>
      </c>
      <c r="BF565" s="106">
        <f t="shared" si="99"/>
        <v>86.7</v>
      </c>
      <c r="BG565" s="107">
        <f t="shared" si="99"/>
        <v>60</v>
      </c>
      <c r="BH565" s="108" t="s">
        <v>54</v>
      </c>
      <c r="BI565" s="109"/>
    </row>
    <row r="566" ht="15.75" spans="2:64">
      <c r="B566" s="59"/>
      <c r="C566" s="60"/>
      <c r="D566" s="61"/>
      <c r="E566" s="62"/>
      <c r="F566" s="61"/>
      <c r="G566" s="61"/>
      <c r="H566" s="75"/>
      <c r="I566" s="76"/>
      <c r="O566" s="69"/>
      <c r="P566" s="70">
        <v>423</v>
      </c>
      <c r="Q566" s="71">
        <v>50</v>
      </c>
      <c r="R566" s="70"/>
      <c r="S566" s="70"/>
      <c r="T566" s="70"/>
      <c r="U566" s="72"/>
      <c r="V566" s="73"/>
      <c r="W566" s="94" t="s">
        <v>52</v>
      </c>
      <c r="X566" s="95" t="s">
        <v>27</v>
      </c>
      <c r="Y566" s="95" t="s">
        <v>65</v>
      </c>
      <c r="AB566" s="59"/>
      <c r="AC566" s="61">
        <v>468</v>
      </c>
      <c r="AD566" s="61">
        <v>20</v>
      </c>
      <c r="AE566" s="62"/>
      <c r="AF566" s="61"/>
      <c r="AG566" s="61"/>
      <c r="AH566" s="75"/>
      <c r="AI566" s="76"/>
      <c r="AJ566" s="58"/>
      <c r="AK566" s="58"/>
      <c r="AL566" s="58"/>
      <c r="AO566" s="36"/>
      <c r="AP566" s="37"/>
      <c r="AQ566" s="37"/>
      <c r="AR566" s="37"/>
      <c r="AS566" s="37"/>
      <c r="AT566" s="37"/>
      <c r="AU566" s="37"/>
      <c r="AV566" s="37"/>
      <c r="AW566" s="37"/>
      <c r="AX566" s="37"/>
      <c r="AY566" s="38"/>
    </row>
    <row r="567" ht="21" customHeight="1" spans="2:64">
      <c r="B567" s="96"/>
      <c r="C567" s="97"/>
      <c r="D567" s="98"/>
      <c r="E567" s="99"/>
      <c r="F567" s="98"/>
      <c r="G567" s="98"/>
      <c r="H567" s="72"/>
      <c r="I567" s="73"/>
      <c r="O567" s="59"/>
      <c r="P567" s="60"/>
      <c r="Q567" s="61"/>
      <c r="R567" s="62">
        <v>609</v>
      </c>
      <c r="S567" s="61">
        <v>91.35</v>
      </c>
      <c r="T567" s="61"/>
      <c r="U567" s="75"/>
      <c r="V567" s="76"/>
      <c r="W567" s="77"/>
      <c r="X567" s="77"/>
      <c r="Y567" s="87"/>
      <c r="AB567" s="69"/>
      <c r="AC567" s="70"/>
      <c r="AD567" s="71"/>
      <c r="AE567" s="70">
        <v>170</v>
      </c>
      <c r="AF567" s="70"/>
      <c r="AG567" s="70"/>
      <c r="AH567" s="72"/>
      <c r="AI567" s="73"/>
      <c r="AJ567" s="58"/>
      <c r="AK567" s="58"/>
      <c r="AL567" s="58"/>
      <c r="AO567" s="39" t="s">
        <v>12</v>
      </c>
      <c r="AP567" s="40" t="s">
        <v>13</v>
      </c>
      <c r="AQ567" s="41"/>
      <c r="AR567" s="42" t="s">
        <v>14</v>
      </c>
      <c r="AS567" s="43"/>
      <c r="AT567" s="44" t="s">
        <v>15</v>
      </c>
      <c r="AU567" s="45"/>
      <c r="AV567" s="46"/>
      <c r="AW567" s="47" t="s">
        <v>16</v>
      </c>
      <c r="AX567" s="48"/>
      <c r="AY567" s="49">
        <f>AP589+AR589</f>
        <v>3768</v>
      </c>
    </row>
    <row r="568" ht="15.75" spans="2:64">
      <c r="B568" s="59"/>
      <c r="C568" s="60"/>
      <c r="D568" s="61"/>
      <c r="E568" s="62"/>
      <c r="F568" s="61"/>
      <c r="G568" s="61"/>
      <c r="H568" s="75"/>
      <c r="I568" s="76"/>
      <c r="O568" s="69"/>
      <c r="P568" s="70"/>
      <c r="Q568" s="71"/>
      <c r="R568" s="70">
        <v>455</v>
      </c>
      <c r="S568" s="70"/>
      <c r="T568" s="70"/>
      <c r="U568" s="72"/>
      <c r="V568" s="73"/>
      <c r="W568" s="58"/>
      <c r="X568" s="58"/>
      <c r="Y568" s="58"/>
      <c r="AB568" s="59"/>
      <c r="AC568" s="60">
        <v>1258</v>
      </c>
      <c r="AD568" s="61"/>
      <c r="AE568" s="62"/>
      <c r="AF568" s="61"/>
      <c r="AG568" s="61"/>
      <c r="AH568" s="75"/>
      <c r="AI568" s="76"/>
      <c r="AJ568" s="58"/>
      <c r="AK568" s="58"/>
      <c r="AL568" s="58"/>
      <c r="AO568" s="50"/>
      <c r="AP568" s="51" t="s">
        <v>17</v>
      </c>
      <c r="AQ568" s="51" t="s">
        <v>18</v>
      </c>
      <c r="AR568" s="52" t="s">
        <v>17</v>
      </c>
      <c r="AS568" s="52" t="s">
        <v>18</v>
      </c>
      <c r="AT568" s="53"/>
      <c r="AU568" s="54"/>
      <c r="AV568" s="55"/>
      <c r="AW568" s="56" t="s">
        <v>19</v>
      </c>
      <c r="AX568" s="57"/>
      <c r="AY568" s="49">
        <f>AQ589+AS589</f>
        <v>420.15</v>
      </c>
    </row>
    <row r="569" ht="15.75" spans="2:64">
      <c r="B569" s="59"/>
      <c r="C569" s="60"/>
      <c r="D569" s="61"/>
      <c r="E569" s="62"/>
      <c r="F569" s="61"/>
      <c r="G569" s="61"/>
      <c r="H569" s="75"/>
      <c r="I569" s="76"/>
      <c r="O569" s="59"/>
      <c r="P569" s="60">
        <v>258</v>
      </c>
      <c r="Q569" s="61">
        <v>22</v>
      </c>
      <c r="R569" s="62"/>
      <c r="S569" s="61"/>
      <c r="T569" s="61"/>
      <c r="U569" s="75"/>
      <c r="V569" s="76"/>
      <c r="W569" s="58"/>
      <c r="X569" s="58"/>
      <c r="Y569" s="58"/>
      <c r="AB569" s="69"/>
      <c r="AC569" s="112"/>
      <c r="AD569" s="71">
        <v>75</v>
      </c>
      <c r="AE569" s="58">
        <v>543</v>
      </c>
      <c r="AF569" s="70"/>
      <c r="AG569" s="70"/>
      <c r="AH569" s="72"/>
      <c r="AI569" s="73"/>
      <c r="AJ569" s="58"/>
      <c r="AO569" s="59">
        <v>1124</v>
      </c>
      <c r="AP569" s="68">
        <v>15</v>
      </c>
      <c r="AQ569" s="61"/>
      <c r="AR569" s="62"/>
      <c r="AS569" s="61"/>
      <c r="AT569" s="61">
        <v>100</v>
      </c>
      <c r="AU569" s="63" t="s">
        <v>50</v>
      </c>
      <c r="AV569" s="64"/>
      <c r="AW569" s="65" t="s">
        <v>21</v>
      </c>
      <c r="AX569" s="66"/>
      <c r="AY569" s="67">
        <f>AT589</f>
        <v>2484</v>
      </c>
    </row>
    <row r="570" ht="15.75" spans="2:64">
      <c r="B570" s="69"/>
      <c r="C570" s="112"/>
      <c r="D570" s="71"/>
      <c r="E570" s="58"/>
      <c r="F570" s="70"/>
      <c r="G570" s="70"/>
      <c r="H570" s="72"/>
      <c r="I570" s="73"/>
      <c r="O570" s="69"/>
      <c r="P570" s="71"/>
      <c r="Q570" s="71"/>
      <c r="R570" s="70">
        <v>507</v>
      </c>
      <c r="S570" s="70">
        <v>101.4</v>
      </c>
      <c r="T570" s="70"/>
      <c r="U570" s="72"/>
      <c r="V570" s="73"/>
      <c r="W570" s="58"/>
      <c r="X570" s="58"/>
      <c r="Y570" s="58"/>
      <c r="AB570" s="59"/>
      <c r="AC570" s="60"/>
      <c r="AD570" s="61"/>
      <c r="AE570" s="62">
        <v>421</v>
      </c>
      <c r="AF570" s="61"/>
      <c r="AG570" s="61"/>
      <c r="AH570" s="75"/>
      <c r="AI570" s="76"/>
      <c r="AJ570" s="58"/>
      <c r="AO570" s="69">
        <v>1000</v>
      </c>
      <c r="AP570" s="70"/>
      <c r="AQ570" s="71"/>
      <c r="AR570" s="70">
        <v>761</v>
      </c>
      <c r="AS570" s="70">
        <v>76.1</v>
      </c>
      <c r="AT570" s="70">
        <v>77</v>
      </c>
      <c r="AU570" s="72" t="s">
        <v>298</v>
      </c>
      <c r="AV570" s="73"/>
      <c r="AW570" s="74" t="s">
        <v>26</v>
      </c>
      <c r="AX570" s="57"/>
      <c r="AY570" s="49">
        <f>AO589+AY567+AY568-AY569-AR589-AS589</f>
        <v>1465</v>
      </c>
      <c r="BB570" s="33" t="s">
        <v>299</v>
      </c>
      <c r="BC570" s="34"/>
      <c r="BD570" s="34"/>
      <c r="BE570" s="34"/>
      <c r="BF570" s="34"/>
      <c r="BG570" s="34"/>
      <c r="BH570" s="34"/>
      <c r="BI570" s="34"/>
      <c r="BJ570" s="34"/>
      <c r="BK570" s="34"/>
      <c r="BL570" s="35"/>
    </row>
    <row r="571" ht="15.75" spans="2:64">
      <c r="B571" s="102">
        <f t="shared" ref="B571:G571" si="100">SUM(B546:B570)</f>
        <v>740</v>
      </c>
      <c r="C571" s="103">
        <f t="shared" si="100"/>
        <v>2119</v>
      </c>
      <c r="D571" s="104">
        <f t="shared" si="100"/>
        <v>438</v>
      </c>
      <c r="E571" s="105">
        <f t="shared" si="100"/>
        <v>5271.9</v>
      </c>
      <c r="F571" s="106">
        <f t="shared" si="100"/>
        <v>255.65</v>
      </c>
      <c r="G571" s="107">
        <f t="shared" si="100"/>
        <v>563.92</v>
      </c>
      <c r="H571" s="108" t="s">
        <v>54</v>
      </c>
      <c r="I571" s="109"/>
      <c r="O571" s="59"/>
      <c r="P571" s="61"/>
      <c r="Q571" s="61"/>
      <c r="R571" s="62">
        <v>30</v>
      </c>
      <c r="S571" s="61"/>
      <c r="T571" s="61"/>
      <c r="U571" s="75"/>
      <c r="V571" s="76"/>
      <c r="W571" s="58"/>
      <c r="X571" s="58"/>
      <c r="Y571" s="58"/>
      <c r="AB571" s="69"/>
      <c r="AC571" s="112">
        <v>965</v>
      </c>
      <c r="AD571" s="71">
        <v>103.5</v>
      </c>
      <c r="AE571" s="58"/>
      <c r="AF571" s="70"/>
      <c r="AG571" s="70"/>
      <c r="AH571" s="72"/>
      <c r="AI571" s="73"/>
      <c r="AO571" s="59">
        <v>250</v>
      </c>
      <c r="AP571" s="60"/>
      <c r="AQ571" s="61"/>
      <c r="AR571" s="62">
        <v>215</v>
      </c>
      <c r="AS571" s="61">
        <v>21.5</v>
      </c>
      <c r="AT571" s="61">
        <v>53</v>
      </c>
      <c r="AU571" s="75" t="s">
        <v>300</v>
      </c>
      <c r="AV571" s="76"/>
      <c r="AW571" s="77"/>
      <c r="AX571" s="78" t="s">
        <v>30</v>
      </c>
      <c r="AY571" s="79">
        <f>AY568/4</f>
        <v>105.0375</v>
      </c>
      <c r="BB571" s="36"/>
      <c r="BC571" s="37"/>
      <c r="BD571" s="37"/>
      <c r="BE571" s="37"/>
      <c r="BF571" s="37"/>
      <c r="BG571" s="37"/>
      <c r="BH571" s="37"/>
      <c r="BI571" s="37"/>
      <c r="BJ571" s="37"/>
      <c r="BK571" s="37"/>
      <c r="BL571" s="38"/>
    </row>
    <row r="572" ht="15.75" spans="2:64">
      <c r="O572" s="69"/>
      <c r="P572" s="71">
        <v>170</v>
      </c>
      <c r="Q572" s="71">
        <v>20</v>
      </c>
      <c r="R572" s="70"/>
      <c r="S572" s="70"/>
      <c r="T572" s="70"/>
      <c r="U572" s="72"/>
      <c r="V572" s="73"/>
      <c r="W572" s="58"/>
      <c r="X572" s="58"/>
      <c r="Y572" s="58"/>
      <c r="AB572" s="59"/>
      <c r="AC572" s="60">
        <v>176</v>
      </c>
      <c r="AD572" s="61">
        <v>20</v>
      </c>
      <c r="AE572" s="62"/>
      <c r="AF572" s="61"/>
      <c r="AG572" s="61"/>
      <c r="AH572" s="75"/>
      <c r="AI572" s="76"/>
      <c r="AO572" s="69">
        <v>40</v>
      </c>
      <c r="AP572" s="70">
        <v>142</v>
      </c>
      <c r="AQ572" s="71">
        <v>8</v>
      </c>
      <c r="AR572" s="70"/>
      <c r="AS572" s="70"/>
      <c r="AT572" s="70">
        <v>2254</v>
      </c>
      <c r="AU572" s="72" t="s">
        <v>48</v>
      </c>
      <c r="AV572" s="73"/>
      <c r="AW572" s="77"/>
      <c r="AX572" s="80" t="s">
        <v>34</v>
      </c>
      <c r="AY572" s="81">
        <f>AY568/6</f>
        <v>70.025</v>
      </c>
      <c r="BB572" s="39" t="s">
        <v>12</v>
      </c>
      <c r="BC572" s="40" t="s">
        <v>13</v>
      </c>
      <c r="BD572" s="41"/>
      <c r="BE572" s="42" t="s">
        <v>14</v>
      </c>
      <c r="BF572" s="43"/>
      <c r="BG572" s="44" t="s">
        <v>15</v>
      </c>
      <c r="BH572" s="45"/>
      <c r="BI572" s="46"/>
      <c r="BJ572" s="47" t="s">
        <v>16</v>
      </c>
      <c r="BK572" s="48"/>
      <c r="BL572" s="49">
        <f>BC594+BE594</f>
        <v>6816</v>
      </c>
    </row>
    <row r="573" ht="15.75" spans="2:64">
      <c r="O573" s="59"/>
      <c r="P573" s="61"/>
      <c r="Q573" s="61"/>
      <c r="R573" s="62">
        <v>398</v>
      </c>
      <c r="S573" s="61">
        <v>39.8</v>
      </c>
      <c r="T573" s="61"/>
      <c r="U573" s="75"/>
      <c r="V573" s="76"/>
      <c r="W573" s="58"/>
      <c r="X573" s="58"/>
      <c r="Y573" s="58"/>
      <c r="AB573" s="96"/>
      <c r="AC573" s="97">
        <v>15</v>
      </c>
      <c r="AD573" s="98"/>
      <c r="AE573" s="99"/>
      <c r="AF573" s="98"/>
      <c r="AG573" s="98"/>
      <c r="AH573" s="72"/>
      <c r="AI573" s="73"/>
      <c r="AO573" s="59"/>
      <c r="AP573" s="60"/>
      <c r="AQ573" s="61"/>
      <c r="AR573" s="62">
        <v>214</v>
      </c>
      <c r="AS573" s="61"/>
      <c r="AT573" s="61"/>
      <c r="AU573" s="75"/>
      <c r="AV573" s="84"/>
      <c r="AW573" s="77"/>
      <c r="AX573" s="82" t="s">
        <v>37</v>
      </c>
      <c r="AY573" s="83">
        <f>AY568/8</f>
        <v>52.51875</v>
      </c>
      <c r="BB573" s="50"/>
      <c r="BC573" s="51" t="s">
        <v>17</v>
      </c>
      <c r="BD573" s="51" t="s">
        <v>18</v>
      </c>
      <c r="BE573" s="52" t="s">
        <v>17</v>
      </c>
      <c r="BF573" s="52" t="s">
        <v>18</v>
      </c>
      <c r="BG573" s="53"/>
      <c r="BH573" s="54"/>
      <c r="BI573" s="55"/>
      <c r="BJ573" s="56" t="s">
        <v>19</v>
      </c>
      <c r="BK573" s="57"/>
      <c r="BL573" s="49">
        <f>BD594+BF594</f>
        <v>655.05</v>
      </c>
    </row>
    <row r="574" ht="15.75" spans="2:64">
      <c r="B574" s="33" t="s">
        <v>301</v>
      </c>
      <c r="C574" s="34"/>
      <c r="D574" s="34"/>
      <c r="E574" s="34"/>
      <c r="F574" s="34"/>
      <c r="G574" s="34"/>
      <c r="H574" s="34"/>
      <c r="I574" s="34"/>
      <c r="J574" s="34"/>
      <c r="K574" s="34"/>
      <c r="L574" s="35"/>
      <c r="O574" s="69"/>
      <c r="P574" s="71">
        <v>30</v>
      </c>
      <c r="Q574" s="71"/>
      <c r="R574" s="70"/>
      <c r="S574" s="70"/>
      <c r="T574" s="70"/>
      <c r="U574" s="72"/>
      <c r="V574" s="73"/>
      <c r="W574" s="58"/>
      <c r="AB574" s="59"/>
      <c r="AC574" s="60"/>
      <c r="AD574" s="61"/>
      <c r="AE574" s="62">
        <v>270</v>
      </c>
      <c r="AF574" s="61">
        <v>27</v>
      </c>
      <c r="AG574" s="61"/>
      <c r="AH574" s="75"/>
      <c r="AI574" s="76"/>
      <c r="AO574" s="69"/>
      <c r="AP574" s="70">
        <v>225</v>
      </c>
      <c r="AQ574" s="85">
        <v>30</v>
      </c>
      <c r="AR574" s="70"/>
      <c r="AS574" s="70"/>
      <c r="AT574" s="70"/>
      <c r="AU574" s="72"/>
      <c r="AV574" s="73"/>
      <c r="AW574" s="86"/>
      <c r="AX574" s="77"/>
      <c r="AY574" s="87"/>
      <c r="BB574" s="59">
        <v>2078</v>
      </c>
      <c r="BC574" s="68"/>
      <c r="BD574" s="61"/>
      <c r="BE574" s="62">
        <v>98</v>
      </c>
      <c r="BF574" s="61"/>
      <c r="BG574" s="61">
        <v>500</v>
      </c>
      <c r="BH574" s="63" t="s">
        <v>50</v>
      </c>
      <c r="BI574" s="64"/>
      <c r="BJ574" s="65" t="s">
        <v>21</v>
      </c>
      <c r="BK574" s="66"/>
      <c r="BL574" s="67">
        <f>BG594</f>
        <v>2053</v>
      </c>
    </row>
    <row r="575" ht="15.75" spans="2:64">
      <c r="B575" s="36"/>
      <c r="C575" s="37"/>
      <c r="D575" s="37"/>
      <c r="E575" s="37"/>
      <c r="F575" s="37"/>
      <c r="G575" s="37"/>
      <c r="H575" s="37"/>
      <c r="I575" s="37"/>
      <c r="J575" s="37"/>
      <c r="K575" s="37"/>
      <c r="L575" s="38"/>
      <c r="O575" s="59"/>
      <c r="P575" s="61"/>
      <c r="Q575" s="61"/>
      <c r="R575" s="62">
        <v>327</v>
      </c>
      <c r="S575" s="61"/>
      <c r="T575" s="61"/>
      <c r="U575" s="75"/>
      <c r="V575" s="76"/>
      <c r="W575" s="58"/>
      <c r="AB575" s="96"/>
      <c r="AC575" s="97"/>
      <c r="AD575" s="98"/>
      <c r="AE575" s="99">
        <v>512</v>
      </c>
      <c r="AF575" s="98">
        <v>76.8</v>
      </c>
      <c r="AG575" s="98"/>
      <c r="AH575" s="72"/>
      <c r="AI575" s="73"/>
      <c r="AO575" s="59"/>
      <c r="AP575" s="60">
        <v>430</v>
      </c>
      <c r="AQ575" s="61">
        <v>70</v>
      </c>
      <c r="AR575" s="62"/>
      <c r="AS575" s="61"/>
      <c r="AT575" s="61"/>
      <c r="AU575" s="75"/>
      <c r="AV575" s="84"/>
      <c r="AW575" s="77"/>
      <c r="AX575" s="58"/>
      <c r="AY575" s="58"/>
      <c r="BB575" s="69"/>
      <c r="BC575" s="70"/>
      <c r="BD575" s="71"/>
      <c r="BE575" s="70">
        <v>407</v>
      </c>
      <c r="BF575" s="70">
        <v>61.05</v>
      </c>
      <c r="BG575" s="70">
        <v>66</v>
      </c>
      <c r="BH575" s="72" t="s">
        <v>36</v>
      </c>
      <c r="BI575" s="73"/>
      <c r="BJ575" s="74" t="s">
        <v>26</v>
      </c>
      <c r="BK575" s="57"/>
      <c r="BL575" s="49">
        <f>BB594+BL572+BL573-BL574-BE594-BF594</f>
        <v>2068</v>
      </c>
    </row>
    <row r="576" ht="15.75" spans="2:64">
      <c r="B576" s="39" t="s">
        <v>12</v>
      </c>
      <c r="C576" s="40" t="s">
        <v>13</v>
      </c>
      <c r="D576" s="41"/>
      <c r="E576" s="42" t="s">
        <v>14</v>
      </c>
      <c r="F576" s="43"/>
      <c r="G576" s="44" t="s">
        <v>15</v>
      </c>
      <c r="H576" s="45"/>
      <c r="I576" s="46"/>
      <c r="J576" s="47" t="s">
        <v>16</v>
      </c>
      <c r="K576" s="48"/>
      <c r="L576" s="49">
        <f>C605+E605</f>
        <v>13690</v>
      </c>
      <c r="O576" s="69"/>
      <c r="P576" s="71"/>
      <c r="Q576" s="71"/>
      <c r="R576" s="70">
        <v>158</v>
      </c>
      <c r="S576" s="70">
        <v>15.8</v>
      </c>
      <c r="T576" s="70"/>
      <c r="U576" s="72"/>
      <c r="V576" s="73"/>
      <c r="W576" s="58"/>
      <c r="AB576" s="59"/>
      <c r="AC576" s="60"/>
      <c r="AD576" s="61"/>
      <c r="AE576" s="62">
        <v>65</v>
      </c>
      <c r="AF576" s="61"/>
      <c r="AG576" s="61"/>
      <c r="AH576" s="75"/>
      <c r="AI576" s="76"/>
      <c r="AO576" s="69"/>
      <c r="AP576" s="70">
        <v>398</v>
      </c>
      <c r="AQ576" s="85">
        <v>102</v>
      </c>
      <c r="AR576" s="70"/>
      <c r="AS576" s="70"/>
      <c r="AT576" s="70"/>
      <c r="AU576" s="72"/>
      <c r="AV576" s="73"/>
      <c r="AW576" s="77"/>
      <c r="AX576" s="58"/>
      <c r="AY576" s="58"/>
      <c r="BB576" s="59"/>
      <c r="BC576" s="60">
        <v>176</v>
      </c>
      <c r="BD576" s="61"/>
      <c r="BE576" s="62"/>
      <c r="BF576" s="61"/>
      <c r="BG576" s="61">
        <v>851</v>
      </c>
      <c r="BH576" s="75" t="s">
        <v>139</v>
      </c>
      <c r="BI576" s="76"/>
      <c r="BJ576" s="77"/>
      <c r="BK576" s="78" t="s">
        <v>30</v>
      </c>
      <c r="BL576" s="79">
        <f>BL573/4</f>
        <v>163.7625</v>
      </c>
    </row>
    <row r="577" ht="15.75" spans="2:64">
      <c r="B577" s="50"/>
      <c r="C577" s="51" t="s">
        <v>17</v>
      </c>
      <c r="D577" s="51" t="s">
        <v>18</v>
      </c>
      <c r="E577" s="52" t="s">
        <v>17</v>
      </c>
      <c r="F577" s="52" t="s">
        <v>18</v>
      </c>
      <c r="G577" s="53"/>
      <c r="H577" s="54"/>
      <c r="I577" s="55"/>
      <c r="J577" s="56" t="s">
        <v>19</v>
      </c>
      <c r="K577" s="57"/>
      <c r="L577" s="49">
        <f>D605+F605</f>
        <v>1230.15</v>
      </c>
      <c r="O577" s="59"/>
      <c r="P577" s="61"/>
      <c r="Q577" s="61"/>
      <c r="R577" s="62"/>
      <c r="S577" s="61"/>
      <c r="T577" s="61"/>
      <c r="U577" s="75"/>
      <c r="V577" s="76"/>
      <c r="W577" s="58"/>
      <c r="AB577" s="96"/>
      <c r="AC577" s="97"/>
      <c r="AD577" s="98"/>
      <c r="AE577" s="99">
        <v>235</v>
      </c>
      <c r="AF577" s="98">
        <v>47</v>
      </c>
      <c r="AG577" s="98"/>
      <c r="AH577" s="72"/>
      <c r="AI577" s="73"/>
      <c r="AO577" s="59"/>
      <c r="AP577" s="60"/>
      <c r="AQ577" s="61">
        <v>20</v>
      </c>
      <c r="AR577" s="62">
        <v>435</v>
      </c>
      <c r="AS577" s="61"/>
      <c r="AT577" s="61"/>
      <c r="AU577" s="75"/>
      <c r="AV577" s="84"/>
      <c r="AW577" s="77"/>
      <c r="AX577" s="58"/>
      <c r="AY577" s="58"/>
      <c r="BB577" s="69"/>
      <c r="BC577" s="70">
        <v>20</v>
      </c>
      <c r="BD577" s="71"/>
      <c r="BE577" s="70"/>
      <c r="BF577" s="70"/>
      <c r="BG577" s="70">
        <v>149</v>
      </c>
      <c r="BH577" s="72" t="s">
        <v>149</v>
      </c>
      <c r="BI577" s="73"/>
      <c r="BJ577" s="77"/>
      <c r="BK577" s="80" t="s">
        <v>34</v>
      </c>
      <c r="BL577" s="81">
        <f>BL573/6</f>
        <v>109.175</v>
      </c>
    </row>
    <row r="578" ht="15.75" spans="2:64">
      <c r="B578" s="59">
        <v>2733.08</v>
      </c>
      <c r="C578" s="60"/>
      <c r="D578" s="61"/>
      <c r="E578" s="62">
        <v>1021</v>
      </c>
      <c r="F578" s="61"/>
      <c r="G578" s="61">
        <v>30</v>
      </c>
      <c r="H578" s="63" t="s">
        <v>29</v>
      </c>
      <c r="I578" s="64"/>
      <c r="J578" s="65" t="s">
        <v>21</v>
      </c>
      <c r="K578" s="66"/>
      <c r="L578" s="67">
        <f>G605</f>
        <v>8247.4</v>
      </c>
      <c r="O578" s="69"/>
      <c r="P578" s="71"/>
      <c r="Q578" s="71"/>
      <c r="R578" s="70"/>
      <c r="S578" s="70"/>
      <c r="T578" s="70"/>
      <c r="U578" s="72"/>
      <c r="V578" s="73"/>
      <c r="W578" s="58"/>
      <c r="AB578" s="59"/>
      <c r="AC578" s="60"/>
      <c r="AD578" s="61">
        <v>40</v>
      </c>
      <c r="AE578" s="62">
        <v>440</v>
      </c>
      <c r="AF578" s="61"/>
      <c r="AG578" s="61"/>
      <c r="AH578" s="75"/>
      <c r="AI578" s="76"/>
      <c r="AO578" s="69"/>
      <c r="AP578" s="70">
        <v>95</v>
      </c>
      <c r="AQ578" s="85"/>
      <c r="AR578" s="70"/>
      <c r="AS578" s="70"/>
      <c r="AT578" s="70"/>
      <c r="AU578" s="72"/>
      <c r="AV578" s="73"/>
      <c r="AW578" s="89" t="s">
        <v>44</v>
      </c>
      <c r="AX578" s="90" t="s">
        <v>45</v>
      </c>
      <c r="AY578" s="90" t="s">
        <v>46</v>
      </c>
      <c r="BB578" s="59"/>
      <c r="BC578" s="60"/>
      <c r="BD578" s="61"/>
      <c r="BE578" s="62">
        <v>362</v>
      </c>
      <c r="BF578" s="61"/>
      <c r="BG578" s="61">
        <v>45</v>
      </c>
      <c r="BH578" s="75" t="s">
        <v>302</v>
      </c>
      <c r="BI578" s="84"/>
      <c r="BJ578" s="77"/>
      <c r="BK578" s="82" t="s">
        <v>37</v>
      </c>
      <c r="BL578" s="83">
        <f>BL573/8</f>
        <v>81.88125</v>
      </c>
    </row>
    <row r="579" ht="15.75" spans="2:64">
      <c r="B579" s="69">
        <v>1000</v>
      </c>
      <c r="C579" s="70"/>
      <c r="D579" s="71"/>
      <c r="E579" s="70">
        <v>490</v>
      </c>
      <c r="F579" s="70">
        <v>98</v>
      </c>
      <c r="G579" s="70">
        <v>140</v>
      </c>
      <c r="H579" s="72" t="s">
        <v>63</v>
      </c>
      <c r="I579" s="73"/>
      <c r="J579" s="74" t="s">
        <v>26</v>
      </c>
      <c r="K579" s="57"/>
      <c r="L579" s="49">
        <f>B605+L576+L577-L578-E605-F605</f>
        <v>4373.68</v>
      </c>
      <c r="O579" s="59"/>
      <c r="P579" s="61"/>
      <c r="Q579" s="61"/>
      <c r="R579" s="62"/>
      <c r="S579" s="61"/>
      <c r="T579" s="61"/>
      <c r="U579" s="75"/>
      <c r="V579" s="76"/>
      <c r="W579" s="58"/>
      <c r="AB579" s="96"/>
      <c r="AC579" s="97"/>
      <c r="AD579" s="98"/>
      <c r="AE579" s="99">
        <v>602</v>
      </c>
      <c r="AF579" s="98">
        <v>60.2</v>
      </c>
      <c r="AG579" s="98"/>
      <c r="AH579" s="72"/>
      <c r="AI579" s="73"/>
      <c r="AO579" s="59"/>
      <c r="AP579" s="60"/>
      <c r="AQ579" s="61"/>
      <c r="AR579" s="62">
        <v>213</v>
      </c>
      <c r="AS579" s="61">
        <v>21.3</v>
      </c>
      <c r="AT579" s="61"/>
      <c r="AU579" s="75"/>
      <c r="AV579" s="84"/>
      <c r="AW579" s="92" t="s">
        <v>47</v>
      </c>
      <c r="AX579" s="93" t="s">
        <v>38</v>
      </c>
      <c r="AY579" s="93" t="s">
        <v>66</v>
      </c>
      <c r="BB579" s="69"/>
      <c r="BC579" s="70"/>
      <c r="BD579" s="85">
        <v>25</v>
      </c>
      <c r="BE579" s="70">
        <v>584</v>
      </c>
      <c r="BF579" s="70"/>
      <c r="BG579" s="70">
        <v>25</v>
      </c>
      <c r="BH579" s="72" t="s">
        <v>29</v>
      </c>
      <c r="BI579" s="73"/>
      <c r="BJ579" s="86"/>
      <c r="BK579" s="77"/>
      <c r="BL579" s="87"/>
    </row>
    <row r="580" ht="15.75" spans="2:64">
      <c r="B580" s="59"/>
      <c r="C580" s="60"/>
      <c r="D580" s="61"/>
      <c r="E580" s="62">
        <v>416</v>
      </c>
      <c r="F580" s="61">
        <v>41.6</v>
      </c>
      <c r="G580" s="61">
        <v>80</v>
      </c>
      <c r="H580" s="75" t="s">
        <v>303</v>
      </c>
      <c r="I580" s="76"/>
      <c r="J580" s="77"/>
      <c r="K580" s="78" t="s">
        <v>30</v>
      </c>
      <c r="L580" s="79">
        <f>L577/4</f>
        <v>307.5375</v>
      </c>
      <c r="O580" s="96"/>
      <c r="P580" s="97"/>
      <c r="Q580" s="98"/>
      <c r="R580" s="99"/>
      <c r="S580" s="98"/>
      <c r="T580" s="98"/>
      <c r="U580" s="100"/>
      <c r="V580" s="101"/>
      <c r="AB580" s="59"/>
      <c r="AC580" s="60"/>
      <c r="AD580" s="61"/>
      <c r="AE580" s="62">
        <v>310</v>
      </c>
      <c r="AF580" s="61"/>
      <c r="AG580" s="61"/>
      <c r="AH580" s="75"/>
      <c r="AI580" s="76"/>
      <c r="AO580" s="69"/>
      <c r="AP580" s="70"/>
      <c r="AQ580" s="85"/>
      <c r="AR580" s="70">
        <v>175</v>
      </c>
      <c r="AS580" s="70">
        <v>26.25</v>
      </c>
      <c r="AT580" s="70"/>
      <c r="AU580" s="72"/>
      <c r="AV580" s="73"/>
      <c r="AW580" s="94" t="s">
        <v>52</v>
      </c>
      <c r="AX580" s="95" t="s">
        <v>174</v>
      </c>
      <c r="AY580" s="95" t="s">
        <v>65</v>
      </c>
      <c r="BB580" s="59"/>
      <c r="BC580" s="60"/>
      <c r="BD580" s="61"/>
      <c r="BE580" s="62">
        <v>424</v>
      </c>
      <c r="BF580" s="61">
        <v>42.4</v>
      </c>
      <c r="BG580" s="61">
        <v>177</v>
      </c>
      <c r="BH580" s="75" t="s">
        <v>149</v>
      </c>
      <c r="BI580" s="84"/>
      <c r="BJ580" s="77"/>
      <c r="BK580" s="58"/>
      <c r="BL580" s="58"/>
    </row>
    <row r="581" ht="17" customHeight="1" spans="2:64">
      <c r="B581" s="69"/>
      <c r="C581" s="70">
        <v>410</v>
      </c>
      <c r="D581" s="71">
        <v>40</v>
      </c>
      <c r="E581" s="70"/>
      <c r="F581" s="70"/>
      <c r="G581" s="70">
        <v>390</v>
      </c>
      <c r="H581" s="72" t="s">
        <v>304</v>
      </c>
      <c r="I581" s="73"/>
      <c r="J581" s="77"/>
      <c r="K581" s="80" t="s">
        <v>34</v>
      </c>
      <c r="L581" s="81">
        <f>L577/6</f>
        <v>205.025</v>
      </c>
      <c r="O581" s="102">
        <f t="shared" ref="O581:T581" si="101">SUM(O555:O580)</f>
        <v>622</v>
      </c>
      <c r="P581" s="103">
        <f t="shared" si="101"/>
        <v>2548</v>
      </c>
      <c r="Q581" s="104">
        <f t="shared" si="101"/>
        <v>237</v>
      </c>
      <c r="R581" s="105">
        <f t="shared" si="101"/>
        <v>4587</v>
      </c>
      <c r="S581" s="106">
        <f t="shared" si="101"/>
        <v>360.35</v>
      </c>
      <c r="T581" s="107">
        <f t="shared" si="101"/>
        <v>210</v>
      </c>
      <c r="U581" s="108" t="s">
        <v>54</v>
      </c>
      <c r="V581" s="109"/>
      <c r="AB581" s="96"/>
      <c r="AC581" s="97"/>
      <c r="AD581" s="98">
        <v>20</v>
      </c>
      <c r="AE581" s="99">
        <v>677</v>
      </c>
      <c r="AF581" s="98">
        <v>23</v>
      </c>
      <c r="AG581" s="98"/>
      <c r="AH581" s="72"/>
      <c r="AI581" s="73"/>
      <c r="AO581" s="59"/>
      <c r="AP581" s="60"/>
      <c r="AQ581" s="61"/>
      <c r="AR581" s="62">
        <v>450</v>
      </c>
      <c r="AS581" s="61">
        <v>45</v>
      </c>
      <c r="AT581" s="61"/>
      <c r="AU581" s="75"/>
      <c r="AV581" s="84"/>
      <c r="AW581" s="77"/>
      <c r="AX581" s="77"/>
      <c r="AY581" s="87"/>
      <c r="BB581" s="69"/>
      <c r="BC581" s="70"/>
      <c r="BD581" s="85"/>
      <c r="BE581" s="70">
        <v>410</v>
      </c>
      <c r="BF581" s="70">
        <v>41</v>
      </c>
      <c r="BG581" s="70">
        <v>240</v>
      </c>
      <c r="BH581" s="72" t="s">
        <v>305</v>
      </c>
      <c r="BI581" s="73"/>
      <c r="BJ581" s="77"/>
      <c r="BK581" s="58"/>
      <c r="BL581" s="58"/>
    </row>
    <row r="582" ht="15.75" spans="2:64">
      <c r="B582" s="59"/>
      <c r="C582" s="60">
        <v>1315</v>
      </c>
      <c r="D582" s="61">
        <v>135</v>
      </c>
      <c r="E582" s="62"/>
      <c r="F582" s="61"/>
      <c r="G582" s="61">
        <v>44.1</v>
      </c>
      <c r="H582" s="75" t="s">
        <v>306</v>
      </c>
      <c r="I582" s="76"/>
      <c r="J582" s="77"/>
      <c r="K582" s="82" t="s">
        <v>37</v>
      </c>
      <c r="L582" s="83">
        <f>L577/8</f>
        <v>153.76875</v>
      </c>
      <c r="AB582" s="102">
        <f t="shared" ref="AB582:AG582" si="102">SUM(AB550:AB581)</f>
        <v>2967</v>
      </c>
      <c r="AC582" s="103">
        <f t="shared" si="102"/>
        <v>5662</v>
      </c>
      <c r="AD582" s="104">
        <f t="shared" si="102"/>
        <v>470.5</v>
      </c>
      <c r="AE582" s="105">
        <f t="shared" si="102"/>
        <v>9728</v>
      </c>
      <c r="AF582" s="106">
        <f t="shared" si="102"/>
        <v>663.15</v>
      </c>
      <c r="AG582" s="107">
        <f t="shared" si="102"/>
        <v>618.7</v>
      </c>
      <c r="AH582" s="108" t="s">
        <v>54</v>
      </c>
      <c r="AI582" s="109"/>
      <c r="AO582" s="69"/>
      <c r="AP582" s="70"/>
      <c r="AQ582" s="85"/>
      <c r="AR582" s="70"/>
      <c r="AS582" s="70"/>
      <c r="AT582" s="70"/>
      <c r="AU582" s="72"/>
      <c r="AV582" s="73"/>
      <c r="AW582" s="58"/>
      <c r="AX582" s="58"/>
      <c r="AY582" s="58"/>
      <c r="BB582" s="59"/>
      <c r="BC582" s="60"/>
      <c r="BD582" s="61">
        <v>20</v>
      </c>
      <c r="BE582" s="62">
        <v>376</v>
      </c>
      <c r="BF582" s="61"/>
      <c r="BG582" s="61"/>
      <c r="BH582" s="75"/>
      <c r="BI582" s="84"/>
      <c r="BJ582" s="77"/>
      <c r="BK582" s="58"/>
      <c r="BL582" s="58"/>
    </row>
    <row r="583" spans="2:64">
      <c r="B583" s="69"/>
      <c r="C583" s="70"/>
      <c r="D583" s="85"/>
      <c r="E583" s="70">
        <v>708</v>
      </c>
      <c r="F583" s="70">
        <v>70.8</v>
      </c>
      <c r="G583" s="70">
        <v>360</v>
      </c>
      <c r="H583" s="72" t="s">
        <v>307</v>
      </c>
      <c r="I583" s="73"/>
      <c r="J583" s="86"/>
      <c r="K583" s="77"/>
      <c r="L583" s="87"/>
      <c r="AO583" s="59"/>
      <c r="AP583" s="60"/>
      <c r="AQ583" s="61"/>
      <c r="AR583" s="62"/>
      <c r="AS583" s="61"/>
      <c r="AT583" s="61"/>
      <c r="AU583" s="75"/>
      <c r="AV583" s="84"/>
      <c r="AW583" s="58"/>
      <c r="AX583" s="58"/>
      <c r="AY583" s="58"/>
      <c r="BB583" s="69"/>
      <c r="BC583" s="70"/>
      <c r="BD583" s="85"/>
      <c r="BE583" s="70">
        <v>378</v>
      </c>
      <c r="BF583" s="70">
        <v>56.7</v>
      </c>
      <c r="BG583" s="70"/>
      <c r="BH583" s="72"/>
      <c r="BI583" s="73"/>
      <c r="BJ583" s="89" t="s">
        <v>44</v>
      </c>
      <c r="BK583" s="90" t="s">
        <v>45</v>
      </c>
      <c r="BL583" s="90" t="s">
        <v>46</v>
      </c>
    </row>
    <row r="584" ht="15.75" spans="2:64">
      <c r="B584" s="59"/>
      <c r="C584" s="60"/>
      <c r="D584" s="61"/>
      <c r="E584" s="62"/>
      <c r="F584" s="61"/>
      <c r="G584" s="61"/>
      <c r="H584" s="75"/>
      <c r="I584" s="76"/>
      <c r="J584" s="77"/>
      <c r="K584" s="58"/>
      <c r="L584" s="58"/>
      <c r="AO584" s="69"/>
      <c r="AP584" s="70"/>
      <c r="AQ584" s="85"/>
      <c r="AR584" s="70"/>
      <c r="AS584" s="70"/>
      <c r="AT584" s="70"/>
      <c r="AU584" s="72"/>
      <c r="AV584" s="73"/>
      <c r="AW584" s="58"/>
      <c r="AX584" s="58"/>
      <c r="AY584" s="58"/>
      <c r="BB584" s="59"/>
      <c r="BC584" s="60">
        <v>235</v>
      </c>
      <c r="BD584" s="61">
        <v>30</v>
      </c>
      <c r="BE584" s="62"/>
      <c r="BF584" s="61"/>
      <c r="BG584" s="61"/>
      <c r="BH584" s="75"/>
      <c r="BI584" s="84"/>
      <c r="BJ584" s="92" t="s">
        <v>47</v>
      </c>
      <c r="BK584" s="93" t="s">
        <v>27</v>
      </c>
      <c r="BL584" s="93" t="s">
        <v>43</v>
      </c>
    </row>
    <row r="585" spans="2:64">
      <c r="B585" s="59"/>
      <c r="C585" s="60"/>
      <c r="D585" s="61"/>
      <c r="E585" s="62"/>
      <c r="F585" s="61"/>
      <c r="G585" s="61"/>
      <c r="H585" s="75"/>
      <c r="I585" s="76"/>
      <c r="J585" s="77"/>
      <c r="K585" s="58"/>
      <c r="L585" s="58"/>
      <c r="O585" s="33" t="s">
        <v>308</v>
      </c>
      <c r="P585" s="34"/>
      <c r="Q585" s="34"/>
      <c r="R585" s="34"/>
      <c r="S585" s="34"/>
      <c r="T585" s="34"/>
      <c r="U585" s="34"/>
      <c r="V585" s="34"/>
      <c r="W585" s="34"/>
      <c r="X585" s="34"/>
      <c r="Y585" s="35"/>
      <c r="AB585" s="33" t="s">
        <v>309</v>
      </c>
      <c r="AC585" s="34"/>
      <c r="AD585" s="34"/>
      <c r="AE585" s="34"/>
      <c r="AF585" s="34"/>
      <c r="AG585" s="34"/>
      <c r="AH585" s="34"/>
      <c r="AI585" s="34"/>
      <c r="AJ585" s="34"/>
      <c r="AK585" s="34"/>
      <c r="AL585" s="35"/>
      <c r="AO585" s="59"/>
      <c r="AP585" s="60"/>
      <c r="AQ585" s="61"/>
      <c r="AR585" s="62"/>
      <c r="AS585" s="61"/>
      <c r="AT585" s="61"/>
      <c r="AU585" s="75"/>
      <c r="AV585" s="84"/>
      <c r="AW585" s="58"/>
      <c r="AX585" s="58"/>
      <c r="AY585" s="58"/>
      <c r="BB585" s="69"/>
      <c r="BC585" s="70">
        <v>127</v>
      </c>
      <c r="BD585" s="85"/>
      <c r="BE585" s="70"/>
      <c r="BF585" s="70"/>
      <c r="BG585" s="70"/>
      <c r="BH585" s="72"/>
      <c r="BI585" s="73"/>
      <c r="BJ585" s="94" t="s">
        <v>52</v>
      </c>
      <c r="BK585" s="95" t="s">
        <v>48</v>
      </c>
      <c r="BL585" s="95" t="s">
        <v>65</v>
      </c>
    </row>
    <row r="586" ht="15.75" spans="2:64">
      <c r="B586" s="59"/>
      <c r="C586" s="60">
        <v>433</v>
      </c>
      <c r="D586" s="61">
        <v>45</v>
      </c>
      <c r="E586" s="62"/>
      <c r="F586" s="61"/>
      <c r="G586" s="61">
        <v>20</v>
      </c>
      <c r="H586" s="75" t="s">
        <v>302</v>
      </c>
      <c r="I586" s="76"/>
      <c r="J586" s="77"/>
      <c r="K586" s="58"/>
      <c r="L586" s="58"/>
      <c r="O586" s="36"/>
      <c r="P586" s="37"/>
      <c r="Q586" s="37"/>
      <c r="R586" s="37"/>
      <c r="S586" s="37"/>
      <c r="T586" s="37"/>
      <c r="U586" s="37"/>
      <c r="V586" s="37"/>
      <c r="W586" s="37"/>
      <c r="X586" s="37"/>
      <c r="Y586" s="38"/>
      <c r="AB586" s="36"/>
      <c r="AC586" s="37"/>
      <c r="AD586" s="37"/>
      <c r="AE586" s="37"/>
      <c r="AF586" s="37"/>
      <c r="AG586" s="37"/>
      <c r="AH586" s="37"/>
      <c r="AI586" s="37"/>
      <c r="AJ586" s="37"/>
      <c r="AK586" s="37"/>
      <c r="AL586" s="38"/>
      <c r="AO586" s="96"/>
      <c r="AP586" s="97"/>
      <c r="AQ586" s="98"/>
      <c r="AR586" s="99"/>
      <c r="AS586" s="98"/>
      <c r="AT586" s="98"/>
      <c r="AU586" s="72"/>
      <c r="AV586" s="73"/>
      <c r="BB586" s="59"/>
      <c r="BC586" s="60"/>
      <c r="BD586" s="61"/>
      <c r="BE586" s="62">
        <v>176</v>
      </c>
      <c r="BF586" s="61"/>
      <c r="BG586" s="61"/>
      <c r="BH586" s="75"/>
      <c r="BI586" s="84"/>
      <c r="BJ586" s="77"/>
      <c r="BK586" s="77"/>
      <c r="BL586" s="87"/>
    </row>
    <row r="587" ht="15.75" spans="2:64">
      <c r="B587" s="69"/>
      <c r="C587" s="70"/>
      <c r="D587" s="71"/>
      <c r="E587" s="70">
        <v>455</v>
      </c>
      <c r="F587" s="70">
        <v>45.5</v>
      </c>
      <c r="G587" s="70">
        <v>48.3</v>
      </c>
      <c r="H587" s="72" t="s">
        <v>310</v>
      </c>
      <c r="I587" s="73"/>
      <c r="J587" s="77"/>
      <c r="K587" s="58"/>
      <c r="L587" s="58"/>
      <c r="O587" s="39" t="s">
        <v>12</v>
      </c>
      <c r="P587" s="40" t="s">
        <v>13</v>
      </c>
      <c r="Q587" s="41"/>
      <c r="R587" s="42" t="s">
        <v>14</v>
      </c>
      <c r="S587" s="43"/>
      <c r="T587" s="44" t="s">
        <v>15</v>
      </c>
      <c r="U587" s="45"/>
      <c r="V587" s="46"/>
      <c r="W587" s="47" t="s">
        <v>16</v>
      </c>
      <c r="X587" s="48"/>
      <c r="Y587" s="49">
        <f>P609+R609</f>
        <v>6175</v>
      </c>
      <c r="AB587" s="39" t="s">
        <v>12</v>
      </c>
      <c r="AC587" s="40" t="s">
        <v>13</v>
      </c>
      <c r="AD587" s="41"/>
      <c r="AE587" s="42" t="s">
        <v>14</v>
      </c>
      <c r="AF587" s="43"/>
      <c r="AG587" s="44" t="s">
        <v>15</v>
      </c>
      <c r="AH587" s="45"/>
      <c r="AI587" s="46"/>
      <c r="AJ587" s="47" t="s">
        <v>16</v>
      </c>
      <c r="AK587" s="48"/>
      <c r="AL587" s="49">
        <f>AC612+AE612</f>
        <v>6802</v>
      </c>
      <c r="AO587" s="59"/>
      <c r="AP587" s="60"/>
      <c r="AQ587" s="61"/>
      <c r="AR587" s="62"/>
      <c r="AS587" s="61"/>
      <c r="AT587" s="61"/>
      <c r="AU587" s="75"/>
      <c r="AV587" s="76"/>
      <c r="BB587" s="69"/>
      <c r="BC587" s="70"/>
      <c r="BD587" s="85"/>
      <c r="BE587" s="70">
        <v>467</v>
      </c>
      <c r="BF587" s="70">
        <v>46.7</v>
      </c>
      <c r="BG587" s="70"/>
      <c r="BH587" s="72"/>
      <c r="BI587" s="73"/>
      <c r="BJ587" s="58"/>
      <c r="BK587" s="58"/>
      <c r="BL587" s="58"/>
    </row>
    <row r="588" ht="15.75" spans="2:64">
      <c r="B588" s="59"/>
      <c r="C588" s="60">
        <v>1541</v>
      </c>
      <c r="D588" s="88">
        <v>159</v>
      </c>
      <c r="E588" s="62"/>
      <c r="F588" s="61"/>
      <c r="G588" s="61">
        <v>25</v>
      </c>
      <c r="H588" s="75" t="s">
        <v>29</v>
      </c>
      <c r="I588" s="76"/>
      <c r="J588" s="77"/>
      <c r="K588" s="58"/>
      <c r="L588" s="58"/>
      <c r="O588" s="50"/>
      <c r="P588" s="51" t="s">
        <v>17</v>
      </c>
      <c r="Q588" s="51" t="s">
        <v>18</v>
      </c>
      <c r="R588" s="52" t="s">
        <v>17</v>
      </c>
      <c r="S588" s="52" t="s">
        <v>18</v>
      </c>
      <c r="T588" s="53"/>
      <c r="U588" s="54"/>
      <c r="V588" s="55"/>
      <c r="W588" s="56" t="s">
        <v>19</v>
      </c>
      <c r="X588" s="57"/>
      <c r="Y588" s="49">
        <f>Q609+S609</f>
        <v>564.9</v>
      </c>
      <c r="AB588" s="50"/>
      <c r="AC588" s="51" t="s">
        <v>17</v>
      </c>
      <c r="AD588" s="51" t="s">
        <v>18</v>
      </c>
      <c r="AE588" s="52" t="s">
        <v>17</v>
      </c>
      <c r="AF588" s="52" t="s">
        <v>18</v>
      </c>
      <c r="AG588" s="53"/>
      <c r="AH588" s="54"/>
      <c r="AI588" s="55"/>
      <c r="AJ588" s="56" t="s">
        <v>19</v>
      </c>
      <c r="AK588" s="57"/>
      <c r="AL588" s="49">
        <f>AD612+AF612</f>
        <v>603.1</v>
      </c>
      <c r="AO588" s="96"/>
      <c r="AP588" s="97"/>
      <c r="AQ588" s="98"/>
      <c r="AR588" s="99"/>
      <c r="AS588" s="98"/>
      <c r="AT588" s="98"/>
      <c r="AU588" s="72"/>
      <c r="AV588" s="73"/>
      <c r="BB588" s="59"/>
      <c r="BC588" s="60">
        <v>300</v>
      </c>
      <c r="BD588" s="61">
        <v>100</v>
      </c>
      <c r="BE588" s="62"/>
      <c r="BF588" s="61"/>
      <c r="BG588" s="61"/>
      <c r="BH588" s="75"/>
      <c r="BI588" s="76"/>
    </row>
    <row r="589" ht="15.75" spans="2:64">
      <c r="B589" s="69"/>
      <c r="C589" s="70">
        <v>981</v>
      </c>
      <c r="D589" s="71">
        <v>99</v>
      </c>
      <c r="E589" s="70"/>
      <c r="F589" s="70"/>
      <c r="G589" s="70">
        <v>158</v>
      </c>
      <c r="H589" s="72" t="s">
        <v>149</v>
      </c>
      <c r="I589" s="73"/>
      <c r="J589" s="89" t="s">
        <v>44</v>
      </c>
      <c r="K589" s="90" t="s">
        <v>45</v>
      </c>
      <c r="L589" s="90" t="s">
        <v>46</v>
      </c>
      <c r="O589" s="59">
        <v>3196</v>
      </c>
      <c r="P589">
        <v>384</v>
      </c>
      <c r="Q589" s="61">
        <v>42</v>
      </c>
      <c r="R589" s="60"/>
      <c r="S589" s="61"/>
      <c r="T589" s="61">
        <v>40</v>
      </c>
      <c r="U589" s="63" t="s">
        <v>60</v>
      </c>
      <c r="V589" s="64"/>
      <c r="W589" s="65" t="s">
        <v>21</v>
      </c>
      <c r="X589" s="66"/>
      <c r="Y589" s="67">
        <f>T609</f>
        <v>3390</v>
      </c>
      <c r="AB589" s="59">
        <v>8464</v>
      </c>
      <c r="AC589" s="68">
        <v>424</v>
      </c>
      <c r="AD589" s="61">
        <v>36</v>
      </c>
      <c r="AE589" s="62"/>
      <c r="AF589" s="61"/>
      <c r="AG589" s="61">
        <v>187</v>
      </c>
      <c r="AH589" s="63" t="s">
        <v>22</v>
      </c>
      <c r="AI589" s="64"/>
      <c r="AJ589" s="65" t="s">
        <v>21</v>
      </c>
      <c r="AK589" s="66"/>
      <c r="AL589" s="67">
        <f>AG612</f>
        <v>8023</v>
      </c>
      <c r="AO589" s="102">
        <f t="shared" ref="AO589:AT589" si="103">SUM(AO569:AO588)</f>
        <v>2414</v>
      </c>
      <c r="AP589" s="103">
        <f t="shared" si="103"/>
        <v>1305</v>
      </c>
      <c r="AQ589" s="104">
        <f t="shared" si="103"/>
        <v>230</v>
      </c>
      <c r="AR589" s="105">
        <f t="shared" si="103"/>
        <v>2463</v>
      </c>
      <c r="AS589" s="106">
        <f t="shared" si="103"/>
        <v>190.15</v>
      </c>
      <c r="AT589" s="107">
        <f t="shared" si="103"/>
        <v>2484</v>
      </c>
      <c r="AU589" s="108" t="s">
        <v>54</v>
      </c>
      <c r="AV589" s="109"/>
      <c r="BB589" s="96"/>
      <c r="BC589" s="97">
        <v>904</v>
      </c>
      <c r="BD589" s="98">
        <v>96</v>
      </c>
      <c r="BE589" s="99"/>
      <c r="BF589" s="98"/>
      <c r="BG589" s="98"/>
      <c r="BH589" s="72"/>
      <c r="BI589" s="73"/>
    </row>
    <row r="590" ht="15.75" spans="2:64">
      <c r="B590" s="59"/>
      <c r="C590" s="60">
        <v>388</v>
      </c>
      <c r="D590" s="61">
        <v>12</v>
      </c>
      <c r="E590" s="62"/>
      <c r="F590" s="61"/>
      <c r="G590" s="61">
        <v>2678</v>
      </c>
      <c r="H590" s="75" t="s">
        <v>31</v>
      </c>
      <c r="I590" s="76"/>
      <c r="J590" s="92" t="s">
        <v>47</v>
      </c>
      <c r="K590" s="93" t="s">
        <v>48</v>
      </c>
      <c r="L590" s="93" t="s">
        <v>43</v>
      </c>
      <c r="O590" s="69"/>
      <c r="P590" s="70"/>
      <c r="Q590" s="71"/>
      <c r="R590" s="70">
        <v>478</v>
      </c>
      <c r="S590" s="71">
        <v>47.8</v>
      </c>
      <c r="T590" s="70">
        <v>30</v>
      </c>
      <c r="U590" s="72" t="s">
        <v>226</v>
      </c>
      <c r="V590" s="73"/>
      <c r="W590" s="74" t="s">
        <v>26</v>
      </c>
      <c r="X590" s="57"/>
      <c r="Y590" s="49">
        <f>O609+Y587+Y588-Y589-R609-S609</f>
        <v>2387.5</v>
      </c>
      <c r="AB590" s="69"/>
      <c r="AC590" s="70"/>
      <c r="AD590" s="71"/>
      <c r="AE590" s="70">
        <v>503</v>
      </c>
      <c r="AF590" s="70">
        <v>50.3</v>
      </c>
      <c r="AG590" s="70">
        <v>2600</v>
      </c>
      <c r="AH590" s="72" t="s">
        <v>77</v>
      </c>
      <c r="AI590" s="73"/>
      <c r="AJ590" s="74" t="s">
        <v>26</v>
      </c>
      <c r="AK590" s="57"/>
      <c r="AL590" s="49">
        <f>AB612+AL587+AL588-AL589-AE612-AF612</f>
        <v>3279</v>
      </c>
      <c r="BB590" s="59"/>
      <c r="BC590" s="60"/>
      <c r="BD590" s="61"/>
      <c r="BE590" s="62">
        <v>220</v>
      </c>
      <c r="BF590" s="61">
        <v>22</v>
      </c>
      <c r="BG590" s="61"/>
      <c r="BH590" s="75"/>
      <c r="BI590" s="76"/>
    </row>
    <row r="591" ht="15.75" spans="2:64">
      <c r="B591" s="69"/>
      <c r="C591" s="70"/>
      <c r="D591" s="71">
        <v>20</v>
      </c>
      <c r="E591" s="70">
        <v>570</v>
      </c>
      <c r="F591" s="70"/>
      <c r="G591" s="70">
        <v>78</v>
      </c>
      <c r="H591" s="72" t="s">
        <v>42</v>
      </c>
      <c r="I591" s="73"/>
      <c r="J591" s="94" t="s">
        <v>52</v>
      </c>
      <c r="K591" s="95" t="s">
        <v>27</v>
      </c>
      <c r="L591" s="95" t="s">
        <v>43</v>
      </c>
      <c r="O591" s="59"/>
      <c r="P591" s="60"/>
      <c r="Q591" s="60">
        <v>15</v>
      </c>
      <c r="R591" s="60">
        <v>280</v>
      </c>
      <c r="S591" s="61"/>
      <c r="T591" s="61">
        <v>360</v>
      </c>
      <c r="U591" s="75" t="s">
        <v>59</v>
      </c>
      <c r="V591" s="76"/>
      <c r="W591" s="77"/>
      <c r="X591" s="78" t="s">
        <v>30</v>
      </c>
      <c r="Y591" s="79">
        <f>Y588/4</f>
        <v>141.225</v>
      </c>
      <c r="AB591" s="59"/>
      <c r="AC591" s="60"/>
      <c r="AD591" s="61"/>
      <c r="AE591" s="62">
        <v>680</v>
      </c>
      <c r="AF591" s="61">
        <v>68</v>
      </c>
      <c r="AG591" s="61">
        <v>49</v>
      </c>
      <c r="AH591" s="75" t="s">
        <v>28</v>
      </c>
      <c r="AI591" s="76"/>
      <c r="AJ591" s="77"/>
      <c r="AK591" s="78" t="s">
        <v>30</v>
      </c>
      <c r="AL591" s="79">
        <f>AL588/4</f>
        <v>150.775</v>
      </c>
      <c r="BB591" s="96"/>
      <c r="BC591" s="97">
        <v>10</v>
      </c>
      <c r="BD591" s="98"/>
      <c r="BE591" s="99"/>
      <c r="BF591" s="98"/>
      <c r="BG591" s="98"/>
      <c r="BH591" s="72"/>
      <c r="BI591" s="73"/>
    </row>
    <row r="592" spans="2:64">
      <c r="B592" s="59"/>
      <c r="C592" s="60">
        <v>542</v>
      </c>
      <c r="D592" s="61">
        <v>56</v>
      </c>
      <c r="E592" s="62"/>
      <c r="F592" s="61"/>
      <c r="G592" s="61">
        <v>2511</v>
      </c>
      <c r="H592" s="75" t="s">
        <v>27</v>
      </c>
      <c r="I592" s="76"/>
      <c r="J592" s="77"/>
      <c r="K592" s="77"/>
      <c r="L592" s="87"/>
      <c r="O592" s="69"/>
      <c r="P592" s="70"/>
      <c r="Q592" s="71"/>
      <c r="R592" s="70">
        <v>368</v>
      </c>
      <c r="S592" s="70">
        <v>36.8</v>
      </c>
      <c r="T592" s="70">
        <v>2930</v>
      </c>
      <c r="U592" s="72" t="s">
        <v>105</v>
      </c>
      <c r="V592" s="73"/>
      <c r="W592" s="77"/>
      <c r="X592" s="80" t="s">
        <v>34</v>
      </c>
      <c r="Y592" s="81">
        <f>Y588/6</f>
        <v>94.15</v>
      </c>
      <c r="AB592" s="69"/>
      <c r="AC592" s="70"/>
      <c r="AD592" s="71"/>
      <c r="AE592" s="70">
        <v>618</v>
      </c>
      <c r="AF592" s="70">
        <v>61.8</v>
      </c>
      <c r="AG592" s="70">
        <v>25</v>
      </c>
      <c r="AH592" s="72" t="s">
        <v>29</v>
      </c>
      <c r="AI592" s="73"/>
      <c r="AJ592" s="77"/>
      <c r="AK592" s="80" t="s">
        <v>34</v>
      </c>
      <c r="AL592" s="81">
        <f>AL588/6</f>
        <v>100.516666666667</v>
      </c>
      <c r="AO592" s="33" t="s">
        <v>311</v>
      </c>
      <c r="AP592" s="34"/>
      <c r="AQ592" s="34"/>
      <c r="AR592" s="34"/>
      <c r="AS592" s="34"/>
      <c r="AT592" s="34"/>
      <c r="AU592" s="34"/>
      <c r="AV592" s="34"/>
      <c r="AW592" s="34"/>
      <c r="AX592" s="34"/>
      <c r="AY592" s="35"/>
      <c r="BB592" s="59"/>
      <c r="BC592" s="60"/>
      <c r="BD592" s="61"/>
      <c r="BE592" s="62">
        <v>455</v>
      </c>
      <c r="BF592" s="61">
        <v>45.5</v>
      </c>
      <c r="BG592" s="61"/>
      <c r="BH592" s="75"/>
      <c r="BI592" s="76"/>
    </row>
    <row r="593" ht="15.75" spans="2:64">
      <c r="B593" s="69"/>
      <c r="C593" s="70">
        <v>800</v>
      </c>
      <c r="D593" s="71">
        <v>88</v>
      </c>
      <c r="E593" s="70"/>
      <c r="F593" s="70"/>
      <c r="G593" s="70">
        <v>825</v>
      </c>
      <c r="H593" s="72" t="s">
        <v>150</v>
      </c>
      <c r="I593" s="73"/>
      <c r="J593" s="58"/>
      <c r="K593" s="58"/>
      <c r="L593" s="58"/>
      <c r="O593" s="59"/>
      <c r="Q593" s="61"/>
      <c r="R593" s="62">
        <v>108</v>
      </c>
      <c r="S593" s="61">
        <v>16.2</v>
      </c>
      <c r="T593" s="61">
        <v>30</v>
      </c>
      <c r="U593" s="75" t="s">
        <v>29</v>
      </c>
      <c r="V593" s="76"/>
      <c r="W593" s="77"/>
      <c r="X593" s="82" t="s">
        <v>37</v>
      </c>
      <c r="Y593" s="83">
        <f>Y588/8</f>
        <v>70.6125</v>
      </c>
      <c r="AB593" s="59"/>
      <c r="AC593" s="60">
        <v>395</v>
      </c>
      <c r="AD593" s="61">
        <v>28</v>
      </c>
      <c r="AE593" s="62"/>
      <c r="AF593" s="61"/>
      <c r="AG593" s="61">
        <v>150</v>
      </c>
      <c r="AH593" s="75" t="s">
        <v>293</v>
      </c>
      <c r="AI593" s="84"/>
      <c r="AJ593" s="77"/>
      <c r="AK593" s="82" t="s">
        <v>37</v>
      </c>
      <c r="AL593" s="83">
        <f>AL588/8</f>
        <v>75.3875</v>
      </c>
      <c r="AO593" s="36"/>
      <c r="AP593" s="37"/>
      <c r="AQ593" s="37"/>
      <c r="AR593" s="37"/>
      <c r="AS593" s="37"/>
      <c r="AT593" s="37"/>
      <c r="AU593" s="37"/>
      <c r="AV593" s="37"/>
      <c r="AW593" s="37"/>
      <c r="AX593" s="37"/>
      <c r="AY593" s="38"/>
      <c r="BB593" s="96"/>
      <c r="BC593" s="97"/>
      <c r="BD593" s="98"/>
      <c r="BE593" s="99">
        <v>687</v>
      </c>
      <c r="BF593" s="98">
        <v>68.7</v>
      </c>
      <c r="BG593" s="98"/>
      <c r="BH593" s="72"/>
      <c r="BI593" s="73"/>
    </row>
    <row r="594" ht="15.75" spans="2:64">
      <c r="B594" s="59"/>
      <c r="C594" s="60">
        <v>438</v>
      </c>
      <c r="D594" s="61">
        <v>42</v>
      </c>
      <c r="E594" s="62"/>
      <c r="F594" s="61"/>
      <c r="G594" s="61">
        <v>860</v>
      </c>
      <c r="H594" s="75" t="s">
        <v>96</v>
      </c>
      <c r="I594" s="76"/>
      <c r="J594" s="58"/>
      <c r="K594" s="58"/>
      <c r="L594" s="58"/>
      <c r="O594" s="69"/>
      <c r="P594" s="60">
        <v>181</v>
      </c>
      <c r="Q594" s="85"/>
      <c r="R594" s="70"/>
      <c r="S594" s="70"/>
      <c r="T594" s="70"/>
      <c r="U594" s="72"/>
      <c r="V594" s="73"/>
      <c r="W594" s="86"/>
      <c r="X594" s="77"/>
      <c r="Y594" s="87"/>
      <c r="AB594" s="69"/>
      <c r="AC594" s="70">
        <v>435</v>
      </c>
      <c r="AD594" s="85">
        <v>35</v>
      </c>
      <c r="AE594" s="70"/>
      <c r="AF594" s="70"/>
      <c r="AG594" s="70">
        <v>3027</v>
      </c>
      <c r="AH594" s="72" t="s">
        <v>38</v>
      </c>
      <c r="AI594" s="73"/>
      <c r="AJ594" s="86"/>
      <c r="AK594" s="77"/>
      <c r="AL594" s="87"/>
      <c r="AO594" s="39" t="s">
        <v>12</v>
      </c>
      <c r="AP594" s="40" t="s">
        <v>13</v>
      </c>
      <c r="AQ594" s="41"/>
      <c r="AR594" s="42" t="s">
        <v>14</v>
      </c>
      <c r="AS594" s="43"/>
      <c r="AT594" s="44" t="s">
        <v>15</v>
      </c>
      <c r="AU594" s="45"/>
      <c r="AV594" s="46"/>
      <c r="AW594" s="47" t="s">
        <v>16</v>
      </c>
      <c r="AX594" s="48"/>
      <c r="AY594" s="49">
        <f>AP624+AR624</f>
        <v>6096</v>
      </c>
      <c r="BB594" s="102">
        <f t="shared" ref="BB594:BG594" si="104">SUM(BB574:BB593)</f>
        <v>2078</v>
      </c>
      <c r="BC594" s="103">
        <f t="shared" si="104"/>
        <v>1772</v>
      </c>
      <c r="BD594" s="104">
        <f t="shared" si="104"/>
        <v>271</v>
      </c>
      <c r="BE594" s="105">
        <f t="shared" si="104"/>
        <v>5044</v>
      </c>
      <c r="BF594" s="106">
        <f t="shared" si="104"/>
        <v>384.05</v>
      </c>
      <c r="BG594" s="107">
        <f t="shared" si="104"/>
        <v>2053</v>
      </c>
      <c r="BH594" s="108" t="s">
        <v>54</v>
      </c>
      <c r="BI594" s="109"/>
    </row>
    <row r="595" ht="15.75" spans="2:64">
      <c r="B595" s="69"/>
      <c r="C595" s="71">
        <v>170</v>
      </c>
      <c r="D595" s="71"/>
      <c r="E595" s="70"/>
      <c r="F595" s="70"/>
      <c r="G595" s="70"/>
      <c r="H595" s="72"/>
      <c r="I595" s="73"/>
      <c r="J595" s="58"/>
      <c r="K595" s="58"/>
      <c r="L595" s="58"/>
      <c r="O595" s="59"/>
      <c r="P595" s="60"/>
      <c r="Q595" s="61"/>
      <c r="R595" s="62">
        <v>556</v>
      </c>
      <c r="S595" s="61">
        <v>55.6</v>
      </c>
      <c r="T595" s="61"/>
      <c r="U595" s="75"/>
      <c r="V595" s="76"/>
      <c r="W595" s="77"/>
      <c r="X595" s="58"/>
      <c r="Y595" s="58"/>
      <c r="AB595" s="59"/>
      <c r="AC595" s="60"/>
      <c r="AD595" s="61"/>
      <c r="AE595" s="62">
        <v>262</v>
      </c>
      <c r="AF595" s="61"/>
      <c r="AG595" s="61">
        <v>1985</v>
      </c>
      <c r="AH595" s="75" t="s">
        <v>43</v>
      </c>
      <c r="AI595" s="76"/>
      <c r="AJ595" s="77"/>
      <c r="AK595" s="58"/>
      <c r="AL595" s="58"/>
      <c r="AO595" s="50"/>
      <c r="AP595" s="51" t="s">
        <v>17</v>
      </c>
      <c r="AQ595" s="51" t="s">
        <v>18</v>
      </c>
      <c r="AR595" s="52" t="s">
        <v>17</v>
      </c>
      <c r="AS595" s="52" t="s">
        <v>18</v>
      </c>
      <c r="AT595" s="53"/>
      <c r="AU595" s="54"/>
      <c r="AV595" s="55"/>
      <c r="AW595" s="56" t="s">
        <v>19</v>
      </c>
      <c r="AX595" s="57"/>
      <c r="AY595" s="49">
        <f>AQ624+AS624</f>
        <v>676.4</v>
      </c>
    </row>
    <row r="596" ht="25" customHeight="1" spans="2:64">
      <c r="B596" s="59"/>
      <c r="C596" s="61"/>
      <c r="D596" s="61"/>
      <c r="E596" s="62">
        <v>362</v>
      </c>
      <c r="F596" s="61">
        <v>36.2</v>
      </c>
      <c r="G596" s="61"/>
      <c r="H596" s="75"/>
      <c r="I596" s="76"/>
      <c r="J596" s="58"/>
      <c r="K596" s="58"/>
      <c r="L596" s="58"/>
      <c r="O596" s="69"/>
      <c r="P596" s="70">
        <v>463</v>
      </c>
      <c r="Q596" s="71">
        <v>47</v>
      </c>
      <c r="R596" s="70"/>
      <c r="S596" s="70"/>
      <c r="T596" s="70"/>
      <c r="U596" s="72"/>
      <c r="V596" s="73"/>
      <c r="W596" s="77"/>
      <c r="X596" s="58"/>
      <c r="Y596" s="58"/>
      <c r="AB596" s="69"/>
      <c r="AC596" s="70"/>
      <c r="AD596" s="71"/>
      <c r="AE596" s="70">
        <v>658</v>
      </c>
      <c r="AF596" s="70">
        <v>65.8</v>
      </c>
      <c r="AG596" s="70"/>
      <c r="AH596" s="72"/>
      <c r="AI596" s="73"/>
      <c r="AJ596" s="77"/>
      <c r="AK596" s="58"/>
      <c r="AL596" s="58"/>
      <c r="AO596" s="59">
        <v>463</v>
      </c>
      <c r="AP596" s="68">
        <v>175</v>
      </c>
      <c r="AQ596" s="61">
        <v>20</v>
      </c>
      <c r="AR596" s="62"/>
      <c r="AS596" s="61"/>
      <c r="AT596" s="61">
        <v>29</v>
      </c>
      <c r="AU596" s="63" t="s">
        <v>201</v>
      </c>
      <c r="AV596" s="64"/>
      <c r="AW596" s="65" t="s">
        <v>21</v>
      </c>
      <c r="AX596" s="66"/>
      <c r="AY596" s="67">
        <f>AT624</f>
        <v>494</v>
      </c>
    </row>
    <row r="597" ht="15.75" spans="2:64">
      <c r="B597" s="69"/>
      <c r="C597" s="70"/>
      <c r="D597" s="71"/>
      <c r="E597" s="70">
        <v>437</v>
      </c>
      <c r="F597" s="70">
        <v>65.55</v>
      </c>
      <c r="G597" s="70"/>
      <c r="H597" s="72"/>
      <c r="I597" s="73"/>
      <c r="J597" s="58"/>
      <c r="K597" s="58"/>
      <c r="L597" s="58"/>
      <c r="O597" s="59"/>
      <c r="P597" s="60"/>
      <c r="Q597" s="88"/>
      <c r="R597" s="62">
        <v>460</v>
      </c>
      <c r="S597" s="61">
        <v>46</v>
      </c>
      <c r="T597" s="61"/>
      <c r="U597" s="75"/>
      <c r="V597" s="76"/>
      <c r="W597" s="77"/>
      <c r="X597" s="58"/>
      <c r="Y597" s="58"/>
      <c r="AB597" s="59"/>
      <c r="AC597" s="60"/>
      <c r="AD597" s="88"/>
      <c r="AE597" s="62">
        <v>634</v>
      </c>
      <c r="AF597" s="61">
        <v>66</v>
      </c>
      <c r="AG597" s="61"/>
      <c r="AH597" s="75"/>
      <c r="AI597" s="76"/>
      <c r="AJ597" s="77"/>
      <c r="AK597" s="58"/>
      <c r="AL597" s="58"/>
      <c r="AO597" s="69"/>
      <c r="AP597" s="70"/>
      <c r="AQ597" s="71"/>
      <c r="AR597" s="70">
        <v>268</v>
      </c>
      <c r="AS597" s="70">
        <v>26.8</v>
      </c>
      <c r="AT597" s="70">
        <v>30</v>
      </c>
      <c r="AU597" s="72" t="s">
        <v>29</v>
      </c>
      <c r="AV597" s="73"/>
      <c r="AW597" s="74" t="s">
        <v>26</v>
      </c>
      <c r="AX597" s="57"/>
      <c r="AY597" s="49">
        <f>AO624+AY594+AY595-AY596-AR624-AS624</f>
        <v>2921</v>
      </c>
    </row>
    <row r="598" spans="2:64">
      <c r="B598" s="59"/>
      <c r="C598" s="60">
        <v>500</v>
      </c>
      <c r="D598" s="61">
        <v>22</v>
      </c>
      <c r="E598" s="62"/>
      <c r="F598" s="61"/>
      <c r="G598" s="61"/>
      <c r="H598" s="75"/>
      <c r="I598" s="76"/>
      <c r="O598" s="69"/>
      <c r="P598" s="70"/>
      <c r="Q598" s="71"/>
      <c r="R598" s="70">
        <v>235</v>
      </c>
      <c r="S598" s="70">
        <v>35.25</v>
      </c>
      <c r="T598" s="70"/>
      <c r="U598" s="72"/>
      <c r="V598" s="73"/>
      <c r="W598" s="89" t="s">
        <v>44</v>
      </c>
      <c r="X598" s="90" t="s">
        <v>45</v>
      </c>
      <c r="Y598" s="90" t="s">
        <v>46</v>
      </c>
      <c r="AB598" s="69"/>
      <c r="AC598" s="70"/>
      <c r="AD598" s="71">
        <v>30</v>
      </c>
      <c r="AE598" s="70">
        <v>328</v>
      </c>
      <c r="AF598" s="70"/>
      <c r="AG598" s="70"/>
      <c r="AH598" s="72"/>
      <c r="AI598" s="73"/>
      <c r="AJ598" s="89" t="s">
        <v>44</v>
      </c>
      <c r="AK598" s="90" t="s">
        <v>45</v>
      </c>
      <c r="AL598" s="90" t="s">
        <v>46</v>
      </c>
      <c r="AO598" s="59"/>
      <c r="AP598" s="60"/>
      <c r="AQ598" s="61"/>
      <c r="AR598" s="62">
        <v>679</v>
      </c>
      <c r="AS598" s="61">
        <v>67.9</v>
      </c>
      <c r="AT598" s="61">
        <v>50</v>
      </c>
      <c r="AU598" s="75" t="s">
        <v>312</v>
      </c>
      <c r="AV598" s="76"/>
      <c r="AW598" s="77"/>
      <c r="AX598" s="78" t="s">
        <v>30</v>
      </c>
      <c r="AY598" s="79">
        <f>AY595/4</f>
        <v>169.1</v>
      </c>
      <c r="BB598" s="33" t="s">
        <v>313</v>
      </c>
      <c r="BC598" s="34"/>
      <c r="BD598" s="34"/>
      <c r="BE598" s="34"/>
      <c r="BF598" s="34"/>
      <c r="BG598" s="34"/>
      <c r="BH598" s="34"/>
      <c r="BI598" s="34"/>
      <c r="BJ598" s="34"/>
      <c r="BK598" s="34"/>
      <c r="BL598" s="35"/>
    </row>
    <row r="599" ht="15.75" spans="2:64">
      <c r="B599" s="69"/>
      <c r="C599" s="112">
        <v>104</v>
      </c>
      <c r="D599" s="71"/>
      <c r="E599" s="58"/>
      <c r="F599" s="70"/>
      <c r="G599" s="70"/>
      <c r="H599" s="72"/>
      <c r="I599" s="73"/>
      <c r="O599" s="59"/>
      <c r="P599" s="60">
        <v>470</v>
      </c>
      <c r="Q599" s="61">
        <v>40.5</v>
      </c>
      <c r="R599" s="62"/>
      <c r="S599" s="61"/>
      <c r="T599" s="61"/>
      <c r="U599" s="75"/>
      <c r="V599" s="76"/>
      <c r="W599" s="92" t="s">
        <v>47</v>
      </c>
      <c r="X599" s="93" t="s">
        <v>48</v>
      </c>
      <c r="Y599" s="93" t="s">
        <v>65</v>
      </c>
      <c r="AB599" s="59"/>
      <c r="AC599" s="60"/>
      <c r="AD599" s="61"/>
      <c r="AE599" s="62">
        <v>152</v>
      </c>
      <c r="AF599" s="61">
        <v>15.2</v>
      </c>
      <c r="AG599" s="61"/>
      <c r="AH599" s="75"/>
      <c r="AI599" s="76"/>
      <c r="AJ599" s="92" t="s">
        <v>47</v>
      </c>
      <c r="AK599" s="93" t="s">
        <v>48</v>
      </c>
      <c r="AL599" s="93" t="s">
        <v>65</v>
      </c>
      <c r="AO599" s="69"/>
      <c r="AP599" s="70">
        <v>607</v>
      </c>
      <c r="AQ599" s="71">
        <v>33</v>
      </c>
      <c r="AR599" s="70"/>
      <c r="AS599" s="70"/>
      <c r="AT599" s="70">
        <v>385</v>
      </c>
      <c r="AU599" s="72" t="s">
        <v>24</v>
      </c>
      <c r="AV599" s="73"/>
      <c r="AW599" s="77"/>
      <c r="AX599" s="80" t="s">
        <v>34</v>
      </c>
      <c r="AY599" s="81">
        <f>AY595/6</f>
        <v>112.733333333333</v>
      </c>
      <c r="BB599" s="36"/>
      <c r="BC599" s="37"/>
      <c r="BD599" s="37"/>
      <c r="BE599" s="37"/>
      <c r="BF599" s="37"/>
      <c r="BG599" s="37"/>
      <c r="BH599" s="37"/>
      <c r="BI599" s="37"/>
      <c r="BJ599" s="37"/>
      <c r="BK599" s="37"/>
      <c r="BL599" s="38"/>
    </row>
    <row r="600" ht="15.75" spans="2:64">
      <c r="B600" s="59"/>
      <c r="C600" s="60"/>
      <c r="D600" s="61"/>
      <c r="E600" s="62">
        <v>410</v>
      </c>
      <c r="F600" s="61">
        <v>41</v>
      </c>
      <c r="G600" s="61"/>
      <c r="H600" s="75"/>
      <c r="I600" s="76"/>
      <c r="O600" s="69"/>
      <c r="P600" s="70">
        <v>437</v>
      </c>
      <c r="Q600" s="71"/>
      <c r="R600" s="70"/>
      <c r="S600" s="70"/>
      <c r="T600" s="70"/>
      <c r="U600" s="72"/>
      <c r="V600" s="73"/>
      <c r="W600" s="94" t="s">
        <v>52</v>
      </c>
      <c r="X600" s="95" t="s">
        <v>27</v>
      </c>
      <c r="Y600" s="95" t="s">
        <v>43</v>
      </c>
      <c r="AB600" s="69"/>
      <c r="AC600" s="70">
        <v>290</v>
      </c>
      <c r="AD600" s="71">
        <v>50</v>
      </c>
      <c r="AE600" s="70"/>
      <c r="AF600" s="70"/>
      <c r="AG600" s="70"/>
      <c r="AH600" s="72"/>
      <c r="AI600" s="73"/>
      <c r="AJ600" s="94" t="s">
        <v>52</v>
      </c>
      <c r="AK600" s="95" t="s">
        <v>27</v>
      </c>
      <c r="AL600" s="95" t="s">
        <v>43</v>
      </c>
      <c r="AO600" s="59"/>
      <c r="AP600" s="60">
        <v>15</v>
      </c>
      <c r="AQ600" s="61"/>
      <c r="AR600" s="62"/>
      <c r="AS600" s="61"/>
      <c r="AT600" s="61"/>
      <c r="AU600" s="75"/>
      <c r="AV600" s="84"/>
      <c r="AW600" s="77"/>
      <c r="AX600" s="82" t="s">
        <v>37</v>
      </c>
      <c r="AY600" s="83">
        <f>AY595/8</f>
        <v>84.55</v>
      </c>
      <c r="BB600" s="39" t="s">
        <v>12</v>
      </c>
      <c r="BC600" s="40" t="s">
        <v>13</v>
      </c>
      <c r="BD600" s="41"/>
      <c r="BE600" s="42" t="s">
        <v>14</v>
      </c>
      <c r="BF600" s="43"/>
      <c r="BG600" s="44" t="s">
        <v>15</v>
      </c>
      <c r="BH600" s="45"/>
      <c r="BI600" s="46"/>
      <c r="BJ600" s="47" t="s">
        <v>16</v>
      </c>
      <c r="BK600" s="48"/>
      <c r="BL600" s="49">
        <f>BC624+BE624</f>
        <v>10570</v>
      </c>
    </row>
    <row r="601" ht="15.75" spans="2:64">
      <c r="B601" s="96"/>
      <c r="C601" s="97">
        <v>248</v>
      </c>
      <c r="D601" s="98">
        <v>20</v>
      </c>
      <c r="E601" s="99"/>
      <c r="F601" s="98"/>
      <c r="G601" s="98"/>
      <c r="H601" s="72"/>
      <c r="I601" s="73"/>
      <c r="O601" s="59"/>
      <c r="P601" s="60"/>
      <c r="Q601" s="61">
        <v>50</v>
      </c>
      <c r="R601" s="62">
        <v>445</v>
      </c>
      <c r="S601" s="61"/>
      <c r="T601" s="61"/>
      <c r="U601" s="75"/>
      <c r="V601" s="76"/>
      <c r="W601" s="77"/>
      <c r="X601" s="77"/>
      <c r="Y601" s="87"/>
      <c r="AB601" s="59"/>
      <c r="AC601" s="60">
        <v>334</v>
      </c>
      <c r="AD601" s="61">
        <v>20</v>
      </c>
      <c r="AE601" s="62"/>
      <c r="AF601" s="61"/>
      <c r="AG601" s="61"/>
      <c r="AH601" s="75"/>
      <c r="AI601" s="76"/>
      <c r="AJ601" s="77"/>
      <c r="AK601" s="77"/>
      <c r="AL601" s="87"/>
      <c r="AO601" s="69"/>
      <c r="AP601" s="70">
        <v>635</v>
      </c>
      <c r="AQ601" s="85">
        <v>65</v>
      </c>
      <c r="AR601" s="70"/>
      <c r="AS601" s="70"/>
      <c r="AT601" s="70"/>
      <c r="AU601" s="72"/>
      <c r="AV601" s="73"/>
      <c r="AW601" s="86"/>
      <c r="AX601" s="77"/>
      <c r="AY601" s="87"/>
      <c r="BB601" s="50"/>
      <c r="BC601" s="51" t="s">
        <v>17</v>
      </c>
      <c r="BD601" s="51" t="s">
        <v>18</v>
      </c>
      <c r="BE601" s="52" t="s">
        <v>17</v>
      </c>
      <c r="BF601" s="52" t="s">
        <v>18</v>
      </c>
      <c r="BG601" s="53"/>
      <c r="BH601" s="54"/>
      <c r="BI601" s="55"/>
      <c r="BJ601" s="56" t="s">
        <v>19</v>
      </c>
      <c r="BK601" s="57"/>
      <c r="BL601" s="49">
        <f>BD624+BF624</f>
        <v>1004.55</v>
      </c>
    </row>
    <row r="602" ht="15.75" spans="2:64">
      <c r="B602" s="59"/>
      <c r="C602" s="60">
        <v>256</v>
      </c>
      <c r="D602" s="61">
        <v>24</v>
      </c>
      <c r="E602" s="62"/>
      <c r="F602" s="61"/>
      <c r="G602" s="61"/>
      <c r="H602" s="75"/>
      <c r="I602" s="76"/>
      <c r="O602" s="69"/>
      <c r="P602" s="70">
        <v>273</v>
      </c>
      <c r="Q602" s="71"/>
      <c r="R602" s="70"/>
      <c r="S602" s="70"/>
      <c r="T602" s="70"/>
      <c r="U602" s="72"/>
      <c r="V602" s="73"/>
      <c r="W602" s="58"/>
      <c r="X602" s="58"/>
      <c r="Y602" s="58"/>
      <c r="AB602" s="69"/>
      <c r="AC602" s="70"/>
      <c r="AD602" s="71"/>
      <c r="AE602" s="70">
        <v>235</v>
      </c>
      <c r="AF602" s="70"/>
      <c r="AG602" s="70"/>
      <c r="AH602" s="72"/>
      <c r="AI602" s="73"/>
      <c r="AJ602" s="58"/>
      <c r="AK602" s="58"/>
      <c r="AL602" s="58"/>
      <c r="AO602" s="59"/>
      <c r="AP602" s="60"/>
      <c r="AQ602" s="61"/>
      <c r="AR602" s="62">
        <v>1323</v>
      </c>
      <c r="AS602" s="61">
        <v>264</v>
      </c>
      <c r="AT602" s="61"/>
      <c r="AU602" s="75"/>
      <c r="AV602" s="84"/>
      <c r="AW602" s="77"/>
      <c r="AX602" s="58"/>
      <c r="AY602" s="58"/>
      <c r="BB602" s="59">
        <v>2068</v>
      </c>
      <c r="BC602" s="68"/>
      <c r="BD602" s="61"/>
      <c r="BE602" s="62">
        <v>344</v>
      </c>
      <c r="BF602" s="61">
        <v>34.4</v>
      </c>
      <c r="BG602" s="61">
        <v>10</v>
      </c>
      <c r="BH602" s="63" t="s">
        <v>314</v>
      </c>
      <c r="BI602" s="64"/>
      <c r="BJ602" s="65" t="s">
        <v>21</v>
      </c>
      <c r="BK602" s="66"/>
      <c r="BL602" s="67">
        <f>BG624</f>
        <v>972.5</v>
      </c>
    </row>
    <row r="603" ht="22" customHeight="1" spans="2:64">
      <c r="B603" s="59"/>
      <c r="C603" s="60"/>
      <c r="D603" s="61"/>
      <c r="E603" s="62">
        <v>695</v>
      </c>
      <c r="F603" s="61">
        <v>69.5</v>
      </c>
      <c r="G603" s="61"/>
      <c r="H603" s="75"/>
      <c r="I603" s="76"/>
      <c r="O603" s="59"/>
      <c r="P603" s="60"/>
      <c r="Q603" s="61"/>
      <c r="R603" s="62">
        <v>705</v>
      </c>
      <c r="S603" s="61">
        <v>105.75</v>
      </c>
      <c r="T603" s="61"/>
      <c r="U603" s="75"/>
      <c r="V603" s="76"/>
      <c r="W603" s="58"/>
      <c r="X603" s="58"/>
      <c r="Y603" s="58"/>
      <c r="AB603" s="59"/>
      <c r="AC603" s="60"/>
      <c r="AD603" s="61"/>
      <c r="AE603" s="62">
        <v>170</v>
      </c>
      <c r="AF603" s="61"/>
      <c r="AG603" s="61"/>
      <c r="AH603" s="75"/>
      <c r="AI603" s="76"/>
      <c r="AJ603" s="58"/>
      <c r="AK603" s="58"/>
      <c r="AL603" s="58"/>
      <c r="AO603" s="69"/>
      <c r="AP603" s="70">
        <v>176</v>
      </c>
      <c r="AQ603" s="85"/>
      <c r="AR603" s="70"/>
      <c r="AS603" s="70"/>
      <c r="AT603" s="70"/>
      <c r="AU603" s="72"/>
      <c r="AV603" s="73"/>
      <c r="AW603" s="77"/>
      <c r="AX603" s="58"/>
      <c r="AY603" s="58"/>
      <c r="BB603" s="69" t="s">
        <v>125</v>
      </c>
      <c r="BC603" s="70"/>
      <c r="BD603" s="71"/>
      <c r="BE603" s="70">
        <v>414</v>
      </c>
      <c r="BF603" s="70">
        <v>62.1</v>
      </c>
      <c r="BG603" s="70">
        <v>30</v>
      </c>
      <c r="BH603" s="72" t="s">
        <v>29</v>
      </c>
      <c r="BI603" s="73"/>
      <c r="BJ603" s="74" t="s">
        <v>26</v>
      </c>
      <c r="BK603" s="57"/>
      <c r="BL603" s="49">
        <f>BB624+BL600+BL601-BL602-BE624-BF624</f>
        <v>6097.5</v>
      </c>
    </row>
    <row r="604" ht="15.75" spans="2:64">
      <c r="B604" s="69"/>
      <c r="C604" s="112"/>
      <c r="D604" s="71"/>
      <c r="E604" s="58"/>
      <c r="F604" s="70"/>
      <c r="G604" s="70"/>
      <c r="H604" s="72"/>
      <c r="I604" s="73"/>
      <c r="O604" s="69"/>
      <c r="P604" s="71">
        <v>152</v>
      </c>
      <c r="Q604" s="71">
        <v>27</v>
      </c>
      <c r="R604" s="70">
        <v>180</v>
      </c>
      <c r="S604" s="70"/>
      <c r="T604" s="70"/>
      <c r="U604" s="72"/>
      <c r="V604" s="73"/>
      <c r="W604" s="58"/>
      <c r="X604" s="58"/>
      <c r="Y604" s="58"/>
      <c r="AB604" s="69"/>
      <c r="AC604" s="71">
        <v>329</v>
      </c>
      <c r="AD604" s="71">
        <v>32</v>
      </c>
      <c r="AE604" s="70"/>
      <c r="AF604" s="70"/>
      <c r="AG604" s="70"/>
      <c r="AH604" s="72"/>
      <c r="AI604" s="73"/>
      <c r="AJ604" s="58"/>
      <c r="AK604" s="58"/>
      <c r="AL604" s="58"/>
      <c r="AO604" s="59"/>
      <c r="AP604" s="60"/>
      <c r="AQ604" s="61"/>
      <c r="AR604" s="62">
        <v>230</v>
      </c>
      <c r="AS604" s="61">
        <v>34.5</v>
      </c>
      <c r="AT604" s="61"/>
      <c r="AU604" s="75"/>
      <c r="AV604" s="84"/>
      <c r="AW604" s="77"/>
      <c r="AX604" s="58"/>
      <c r="AY604" s="58"/>
      <c r="BB604" s="59"/>
      <c r="BC604" s="60">
        <v>127</v>
      </c>
      <c r="BD604" s="61"/>
      <c r="BE604" s="62"/>
      <c r="BF604" s="61"/>
      <c r="BG604" s="61">
        <v>124</v>
      </c>
      <c r="BH604" s="75" t="s">
        <v>57</v>
      </c>
      <c r="BI604" s="76"/>
      <c r="BJ604" s="77"/>
      <c r="BK604" s="78" t="s">
        <v>30</v>
      </c>
      <c r="BL604" s="79">
        <f>BL601/4</f>
        <v>251.1375</v>
      </c>
    </row>
    <row r="605" ht="15.75" spans="2:64">
      <c r="B605" s="102">
        <f t="shared" ref="B605:G605" si="105">SUM(B578:B604)</f>
        <v>3733.08</v>
      </c>
      <c r="C605" s="103">
        <f t="shared" si="105"/>
        <v>8126</v>
      </c>
      <c r="D605" s="104">
        <f t="shared" si="105"/>
        <v>762</v>
      </c>
      <c r="E605" s="105">
        <f t="shared" si="105"/>
        <v>5564</v>
      </c>
      <c r="F605" s="106">
        <f t="shared" si="105"/>
        <v>468.15</v>
      </c>
      <c r="G605" s="107">
        <f t="shared" si="105"/>
        <v>8247.4</v>
      </c>
      <c r="H605" s="108" t="s">
        <v>54</v>
      </c>
      <c r="I605" s="109"/>
      <c r="O605" s="59"/>
      <c r="P605" s="61"/>
      <c r="Q605" s="61"/>
      <c r="R605" s="62"/>
      <c r="S605" s="61"/>
      <c r="T605" s="61"/>
      <c r="U605" s="75"/>
      <c r="V605" s="76"/>
      <c r="W605" s="58"/>
      <c r="X605" s="58"/>
      <c r="Y605" s="58"/>
      <c r="AB605" s="59"/>
      <c r="AC605" s="61">
        <v>355</v>
      </c>
      <c r="AD605" s="61">
        <v>45</v>
      </c>
      <c r="AE605" s="62"/>
      <c r="AF605" s="61"/>
      <c r="AG605" s="61"/>
      <c r="AH605" s="75"/>
      <c r="AI605" s="76"/>
      <c r="AJ605" s="58"/>
      <c r="AK605" s="58"/>
      <c r="AL605" s="58"/>
      <c r="AO605" s="69"/>
      <c r="AP605" s="70">
        <v>757</v>
      </c>
      <c r="AQ605" s="85">
        <v>43</v>
      </c>
      <c r="AR605" s="70"/>
      <c r="AS605" s="70"/>
      <c r="AT605" s="70"/>
      <c r="AU605" s="72"/>
      <c r="AV605" s="73"/>
      <c r="AW605" s="89" t="s">
        <v>44</v>
      </c>
      <c r="AX605" s="90" t="s">
        <v>45</v>
      </c>
      <c r="AY605" s="90" t="s">
        <v>46</v>
      </c>
      <c r="BB605" s="69"/>
      <c r="BC605" s="70">
        <v>541</v>
      </c>
      <c r="BD605" s="71">
        <v>24</v>
      </c>
      <c r="BE605" s="70"/>
      <c r="BF605" s="70"/>
      <c r="BG605" s="70">
        <v>364</v>
      </c>
      <c r="BH605" s="72" t="s">
        <v>39</v>
      </c>
      <c r="BI605" s="73"/>
      <c r="BJ605" s="77"/>
      <c r="BK605" s="80" t="s">
        <v>34</v>
      </c>
      <c r="BL605" s="81">
        <f>BL601/6</f>
        <v>167.425</v>
      </c>
    </row>
    <row r="606" spans="2:64">
      <c r="O606" s="69"/>
      <c r="P606" s="71"/>
      <c r="Q606" s="71"/>
      <c r="R606" s="70"/>
      <c r="S606" s="70"/>
      <c r="T606" s="70"/>
      <c r="U606" s="72"/>
      <c r="V606" s="73"/>
      <c r="W606" s="58"/>
      <c r="X606" s="58"/>
      <c r="Y606" s="58"/>
      <c r="AB606" s="69"/>
      <c r="AC606" s="70"/>
      <c r="AD606" s="71"/>
      <c r="AE606" s="70"/>
      <c r="AF606" s="70"/>
      <c r="AG606" s="70"/>
      <c r="AH606" s="72"/>
      <c r="AI606" s="73"/>
      <c r="AJ606" s="58"/>
      <c r="AK606" s="58"/>
      <c r="AL606" s="58"/>
      <c r="AO606" s="59"/>
      <c r="AP606" s="60">
        <v>195</v>
      </c>
      <c r="AQ606" s="61">
        <v>5</v>
      </c>
      <c r="AR606" s="62"/>
      <c r="AS606" s="61"/>
      <c r="AT606" s="61"/>
      <c r="AU606" s="75"/>
      <c r="AV606" s="84"/>
      <c r="AW606" s="92" t="s">
        <v>47</v>
      </c>
      <c r="AX606" s="93" t="s">
        <v>51</v>
      </c>
      <c r="AY606" s="93" t="s">
        <v>65</v>
      </c>
      <c r="BB606" s="59"/>
      <c r="BC606" s="60"/>
      <c r="BD606" s="61"/>
      <c r="BE606" s="62">
        <v>407</v>
      </c>
      <c r="BF606" s="61">
        <v>40.7</v>
      </c>
      <c r="BG606" s="61">
        <v>29.5</v>
      </c>
      <c r="BH606" s="75" t="s">
        <v>315</v>
      </c>
      <c r="BI606" s="84"/>
      <c r="BJ606" s="77"/>
      <c r="BK606" s="82" t="s">
        <v>37</v>
      </c>
      <c r="BL606" s="83">
        <f>BL601/8</f>
        <v>125.56875</v>
      </c>
    </row>
    <row r="607" ht="15.75" spans="2:64">
      <c r="O607" s="59"/>
      <c r="P607" s="61"/>
      <c r="Q607" s="61"/>
      <c r="R607" s="62"/>
      <c r="S607" s="61"/>
      <c r="T607" s="61"/>
      <c r="U607" s="75"/>
      <c r="V607" s="76"/>
      <c r="W607" s="58"/>
      <c r="X607" s="58"/>
      <c r="Y607" s="58"/>
      <c r="AB607" s="59"/>
      <c r="AC607" s="60"/>
      <c r="AD607" s="61"/>
      <c r="AE607" s="62"/>
      <c r="AF607" s="61"/>
      <c r="AG607" s="61"/>
      <c r="AH607" s="75"/>
      <c r="AI607" s="76"/>
      <c r="AJ607" s="58"/>
      <c r="AK607" s="58"/>
      <c r="AL607" s="58"/>
      <c r="AO607" s="69"/>
      <c r="AP607" s="70">
        <v>176</v>
      </c>
      <c r="AQ607" s="85"/>
      <c r="AR607" s="70"/>
      <c r="AS607" s="70"/>
      <c r="AT607" s="70"/>
      <c r="AU607" s="72"/>
      <c r="AV607" s="73"/>
      <c r="AW607" s="94" t="s">
        <v>52</v>
      </c>
      <c r="AX607" s="95" t="s">
        <v>27</v>
      </c>
      <c r="AY607" s="95" t="s">
        <v>43</v>
      </c>
      <c r="BB607" s="69"/>
      <c r="BC607" s="70"/>
      <c r="BD607" s="85"/>
      <c r="BE607" s="70">
        <v>245</v>
      </c>
      <c r="BF607" s="70">
        <v>24.5</v>
      </c>
      <c r="BG607" s="70">
        <v>385</v>
      </c>
      <c r="BH607" s="72" t="s">
        <v>24</v>
      </c>
      <c r="BI607" s="73"/>
      <c r="BJ607" s="86"/>
      <c r="BK607" s="77"/>
      <c r="BL607" s="87"/>
    </row>
    <row r="608" ht="22" customHeight="1" spans="2:64">
      <c r="B608" s="33" t="s">
        <v>316</v>
      </c>
      <c r="C608" s="34"/>
      <c r="D608" s="34"/>
      <c r="E608" s="34"/>
      <c r="F608" s="34"/>
      <c r="G608" s="34"/>
      <c r="H608" s="34"/>
      <c r="I608" s="34"/>
      <c r="J608" s="34"/>
      <c r="K608" s="34"/>
      <c r="L608" s="35"/>
      <c r="O608" s="96"/>
      <c r="P608" s="97"/>
      <c r="Q608" s="98"/>
      <c r="R608" s="99"/>
      <c r="S608" s="98"/>
      <c r="T608" s="98"/>
      <c r="U608" s="100"/>
      <c r="V608" s="101"/>
      <c r="AB608" s="59"/>
      <c r="AC608" s="60"/>
      <c r="AD608" s="61"/>
      <c r="AE608" s="62"/>
      <c r="AF608" s="61"/>
      <c r="AG608" s="61"/>
      <c r="AH608" s="75"/>
      <c r="AI608" s="76"/>
      <c r="AO608" s="59"/>
      <c r="AP608" s="60"/>
      <c r="AQ608" s="61"/>
      <c r="AR608" s="62">
        <v>448</v>
      </c>
      <c r="AS608" s="61">
        <v>67.2</v>
      </c>
      <c r="AT608" s="61"/>
      <c r="AU608" s="75"/>
      <c r="AV608" s="84"/>
      <c r="AW608" s="77"/>
      <c r="AX608" s="77"/>
      <c r="AY608" s="87"/>
      <c r="BB608" s="59"/>
      <c r="BC608" s="60"/>
      <c r="BD608" s="61"/>
      <c r="BE608" s="62">
        <v>440</v>
      </c>
      <c r="BF608" s="61">
        <v>44</v>
      </c>
      <c r="BG608" s="61">
        <v>30</v>
      </c>
      <c r="BH608" s="75" t="s">
        <v>29</v>
      </c>
      <c r="BI608" s="84"/>
      <c r="BJ608" s="77"/>
      <c r="BK608" s="58"/>
      <c r="BL608" s="58"/>
    </row>
    <row r="609" ht="15.75" spans="2:64">
      <c r="B609" s="36"/>
      <c r="C609" s="37"/>
      <c r="D609" s="37"/>
      <c r="E609" s="37"/>
      <c r="F609" s="37"/>
      <c r="G609" s="37"/>
      <c r="H609" s="37"/>
      <c r="I609" s="37"/>
      <c r="J609" s="37"/>
      <c r="K609" s="37"/>
      <c r="L609" s="38"/>
      <c r="O609" s="102">
        <f t="shared" ref="O609:T609" si="106">SUM(O589:O608)</f>
        <v>3196</v>
      </c>
      <c r="P609" s="103">
        <f t="shared" si="106"/>
        <v>2360</v>
      </c>
      <c r="Q609" s="104">
        <f t="shared" si="106"/>
        <v>221.5</v>
      </c>
      <c r="R609" s="105">
        <f t="shared" si="106"/>
        <v>3815</v>
      </c>
      <c r="S609" s="106">
        <f t="shared" si="106"/>
        <v>343.4</v>
      </c>
      <c r="T609" s="107">
        <f t="shared" si="106"/>
        <v>3390</v>
      </c>
      <c r="U609" s="108" t="s">
        <v>54</v>
      </c>
      <c r="V609" s="109"/>
      <c r="AB609" s="96"/>
      <c r="AC609" s="97"/>
      <c r="AD609" s="98"/>
      <c r="AE609" s="99"/>
      <c r="AF609" s="98"/>
      <c r="AG609" s="98"/>
      <c r="AH609" s="72"/>
      <c r="AI609" s="73"/>
      <c r="AO609" s="69"/>
      <c r="AP609" s="70"/>
      <c r="AQ609" s="85">
        <v>50</v>
      </c>
      <c r="AR609" s="70">
        <v>412</v>
      </c>
      <c r="AS609" s="70"/>
      <c r="AT609" s="70"/>
      <c r="AU609" s="72"/>
      <c r="AV609" s="73"/>
      <c r="AW609" s="58"/>
      <c r="AX609" s="58"/>
      <c r="AY609" s="58"/>
      <c r="BB609" s="69"/>
      <c r="BC609" s="70">
        <v>698</v>
      </c>
      <c r="BD609" s="85">
        <v>52</v>
      </c>
      <c r="BE609" s="70"/>
      <c r="BF609" s="70"/>
      <c r="BG609" s="70"/>
      <c r="BH609" s="72"/>
      <c r="BI609" s="73"/>
      <c r="BJ609" s="77"/>
      <c r="BK609" s="58"/>
      <c r="BL609" s="58"/>
    </row>
    <row r="610" ht="15.75" spans="2:64">
      <c r="B610" s="39" t="s">
        <v>12</v>
      </c>
      <c r="C610" s="40" t="s">
        <v>13</v>
      </c>
      <c r="D610" s="41"/>
      <c r="E610" s="42" t="s">
        <v>14</v>
      </c>
      <c r="F610" s="43"/>
      <c r="G610" s="44" t="s">
        <v>15</v>
      </c>
      <c r="H610" s="45"/>
      <c r="I610" s="46"/>
      <c r="J610" s="47" t="s">
        <v>16</v>
      </c>
      <c r="K610" s="48"/>
      <c r="L610" s="49">
        <f>C639+E639</f>
        <v>5289.6</v>
      </c>
      <c r="AB610" s="59"/>
      <c r="AC610" s="60"/>
      <c r="AD610" s="61"/>
      <c r="AE610" s="62"/>
      <c r="AF610" s="61"/>
      <c r="AG610" s="61"/>
      <c r="AH610" s="75"/>
      <c r="AI610" s="76"/>
      <c r="AO610" s="59"/>
      <c r="AP610" s="60"/>
      <c r="AQ610" s="61"/>
      <c r="AR610" s="62"/>
      <c r="AS610" s="61"/>
      <c r="AT610" s="61"/>
      <c r="AU610" s="75"/>
      <c r="AV610" s="84"/>
      <c r="AW610" s="58"/>
      <c r="AX610" s="58"/>
      <c r="AY610" s="58"/>
      <c r="BB610" s="59"/>
      <c r="BC610" s="60"/>
      <c r="BD610" s="61"/>
      <c r="BE610" s="62">
        <v>705</v>
      </c>
      <c r="BF610" s="61">
        <v>105.75</v>
      </c>
      <c r="BG610" s="61"/>
      <c r="BH610" s="75"/>
      <c r="BI610" s="84"/>
      <c r="BJ610" s="77"/>
      <c r="BK610" s="58"/>
      <c r="BL610" s="58"/>
    </row>
    <row r="611" ht="15.75" spans="2:64">
      <c r="B611" s="50"/>
      <c r="C611" s="51" t="s">
        <v>17</v>
      </c>
      <c r="D611" s="51" t="s">
        <v>18</v>
      </c>
      <c r="E611" s="52" t="s">
        <v>17</v>
      </c>
      <c r="F611" s="52" t="s">
        <v>18</v>
      </c>
      <c r="G611" s="53"/>
      <c r="H611" s="54"/>
      <c r="I611" s="55"/>
      <c r="J611" s="56" t="s">
        <v>19</v>
      </c>
      <c r="K611" s="57"/>
      <c r="L611" s="49">
        <f>D639+F639</f>
        <v>374.1</v>
      </c>
      <c r="AB611" s="96"/>
      <c r="AC611" s="97"/>
      <c r="AD611" s="98"/>
      <c r="AE611" s="99"/>
      <c r="AF611" s="98"/>
      <c r="AG611" s="98"/>
      <c r="AH611" s="72"/>
      <c r="AI611" s="73"/>
      <c r="AO611" s="69"/>
      <c r="AP611" s="70"/>
      <c r="AQ611" s="85"/>
      <c r="AR611" s="70"/>
      <c r="AS611" s="70"/>
      <c r="AT611" s="70"/>
      <c r="AU611" s="72"/>
      <c r="AV611" s="73"/>
      <c r="AW611" s="58"/>
      <c r="AX611" s="58"/>
      <c r="AY611" s="58"/>
      <c r="BB611" s="69"/>
      <c r="BC611" s="70">
        <v>181</v>
      </c>
      <c r="BD611" s="85">
        <v>19</v>
      </c>
      <c r="BE611" s="70"/>
      <c r="BF611" s="70"/>
      <c r="BG611" s="70"/>
      <c r="BH611" s="72"/>
      <c r="BI611" s="73"/>
      <c r="BJ611" s="89" t="s">
        <v>44</v>
      </c>
      <c r="BK611" s="90" t="s">
        <v>45</v>
      </c>
      <c r="BL611" s="90" t="s">
        <v>46</v>
      </c>
    </row>
    <row r="612" ht="15.75" spans="2:64">
      <c r="B612" s="59">
        <v>1900</v>
      </c>
      <c r="C612" s="60"/>
      <c r="D612" s="61"/>
      <c r="E612" s="62">
        <v>318</v>
      </c>
      <c r="F612" s="61">
        <v>31.8</v>
      </c>
      <c r="G612" s="61">
        <v>30</v>
      </c>
      <c r="H612" s="63" t="s">
        <v>29</v>
      </c>
      <c r="I612" s="64"/>
      <c r="J612" s="65" t="s">
        <v>21</v>
      </c>
      <c r="K612" s="66"/>
      <c r="L612" s="67">
        <f>G639</f>
        <v>1963</v>
      </c>
      <c r="O612" s="33" t="s">
        <v>317</v>
      </c>
      <c r="P612" s="34"/>
      <c r="Q612" s="34"/>
      <c r="R612" s="34"/>
      <c r="S612" s="34"/>
      <c r="T612" s="34"/>
      <c r="U612" s="34"/>
      <c r="V612" s="34"/>
      <c r="W612" s="34"/>
      <c r="X612" s="34"/>
      <c r="Y612" s="35"/>
      <c r="AB612" s="102">
        <f t="shared" ref="AB612:AG612" si="107">SUM(AB589:AB611)</f>
        <v>8464</v>
      </c>
      <c r="AC612" s="103">
        <f t="shared" si="107"/>
        <v>2562</v>
      </c>
      <c r="AD612" s="104">
        <f t="shared" si="107"/>
        <v>276</v>
      </c>
      <c r="AE612" s="105">
        <f t="shared" si="107"/>
        <v>4240</v>
      </c>
      <c r="AF612" s="106">
        <f t="shared" si="107"/>
        <v>327.1</v>
      </c>
      <c r="AG612" s="107">
        <f t="shared" si="107"/>
        <v>8023</v>
      </c>
      <c r="AH612" s="108" t="s">
        <v>54</v>
      </c>
      <c r="AI612" s="109"/>
      <c r="AO612" s="59"/>
      <c r="AP612" s="60"/>
      <c r="AQ612" s="61"/>
      <c r="AR612" s="62"/>
      <c r="AS612" s="61"/>
      <c r="AT612" s="61"/>
      <c r="AU612" s="75"/>
      <c r="AV612" s="84"/>
      <c r="AW612" s="58"/>
      <c r="AX612" s="58"/>
      <c r="AY612" s="58"/>
      <c r="BB612" s="59"/>
      <c r="BC612" s="60"/>
      <c r="BD612" s="61"/>
      <c r="BE612" s="62">
        <v>440</v>
      </c>
      <c r="BF612" s="61">
        <v>44</v>
      </c>
      <c r="BG612" s="61"/>
      <c r="BH612" s="75"/>
      <c r="BI612" s="84"/>
      <c r="BJ612" s="92" t="s">
        <v>47</v>
      </c>
      <c r="BK612" s="93" t="s">
        <v>27</v>
      </c>
      <c r="BL612" s="93" t="s">
        <v>43</v>
      </c>
    </row>
    <row r="613" ht="15.75" spans="2:64">
      <c r="B613" s="69"/>
      <c r="C613" s="70">
        <v>306</v>
      </c>
      <c r="D613" s="71">
        <v>30</v>
      </c>
      <c r="E613" s="70"/>
      <c r="F613" s="70"/>
      <c r="G613" s="70">
        <v>110</v>
      </c>
      <c r="H613" s="72" t="s">
        <v>124</v>
      </c>
      <c r="I613" s="73"/>
      <c r="J613" s="74" t="s">
        <v>26</v>
      </c>
      <c r="K613" s="57"/>
      <c r="L613" s="49">
        <f>B639+L610+L611-L612-E639-F639</f>
        <v>2853</v>
      </c>
      <c r="O613" s="36"/>
      <c r="P613" s="37"/>
      <c r="Q613" s="37"/>
      <c r="R613" s="37"/>
      <c r="S613" s="37"/>
      <c r="T613" s="37"/>
      <c r="U613" s="37"/>
      <c r="V613" s="37"/>
      <c r="W613" s="37"/>
      <c r="X613" s="37"/>
      <c r="Y613" s="38"/>
      <c r="AO613" s="96"/>
      <c r="AP613" s="97"/>
      <c r="AQ613" s="98"/>
      <c r="AR613" s="99"/>
      <c r="AS613" s="98"/>
      <c r="AT613" s="98"/>
      <c r="AU613" s="72"/>
      <c r="AV613" s="73"/>
      <c r="BB613" s="69"/>
      <c r="BC613" s="70">
        <v>175</v>
      </c>
      <c r="BD613" s="85">
        <v>15</v>
      </c>
      <c r="BE613" s="70"/>
      <c r="BF613" s="70"/>
      <c r="BG613" s="70"/>
      <c r="BH613" s="72"/>
      <c r="BI613" s="73"/>
      <c r="BJ613" s="94" t="s">
        <v>52</v>
      </c>
      <c r="BK613" s="95" t="s">
        <v>48</v>
      </c>
      <c r="BL613" s="95" t="s">
        <v>65</v>
      </c>
    </row>
    <row r="614" ht="15.75" spans="2:64">
      <c r="B614" s="59"/>
      <c r="C614" s="60"/>
      <c r="D614" s="61"/>
      <c r="E614" s="62">
        <v>341</v>
      </c>
      <c r="F614" s="61">
        <v>34.1</v>
      </c>
      <c r="G614" s="61">
        <v>116</v>
      </c>
      <c r="H614" s="75" t="s">
        <v>170</v>
      </c>
      <c r="I614" s="76"/>
      <c r="J614" s="77"/>
      <c r="K614" s="78" t="s">
        <v>30</v>
      </c>
      <c r="L614" s="79">
        <f>L611/4</f>
        <v>93.525</v>
      </c>
      <c r="O614" s="39" t="s">
        <v>12</v>
      </c>
      <c r="P614" s="40" t="s">
        <v>13</v>
      </c>
      <c r="Q614" s="41"/>
      <c r="R614" s="42" t="s">
        <v>14</v>
      </c>
      <c r="S614" s="43"/>
      <c r="T614" s="44" t="s">
        <v>15</v>
      </c>
      <c r="U614" s="45"/>
      <c r="V614" s="46"/>
      <c r="W614" s="47" t="s">
        <v>16</v>
      </c>
      <c r="X614" s="48"/>
      <c r="Y614" s="49">
        <f>P640+R640</f>
        <v>5659</v>
      </c>
      <c r="AO614" s="59"/>
      <c r="AP614" s="60"/>
      <c r="AQ614" s="61"/>
      <c r="AR614" s="62"/>
      <c r="AS614" s="61"/>
      <c r="AT614" s="61"/>
      <c r="AU614" s="75"/>
      <c r="AV614" s="76"/>
      <c r="BB614" s="59"/>
      <c r="BC614" s="60"/>
      <c r="BD614" s="61"/>
      <c r="BE614" s="62">
        <v>2116</v>
      </c>
      <c r="BF614" s="61">
        <v>211.6</v>
      </c>
      <c r="BG614" s="61"/>
      <c r="BH614" s="75"/>
      <c r="BI614" s="84"/>
      <c r="BJ614" s="77"/>
      <c r="BK614" s="77"/>
      <c r="BL614" s="87"/>
    </row>
    <row r="615" ht="15.75" spans="2:64">
      <c r="B615" s="69"/>
      <c r="C615" s="70"/>
      <c r="D615" s="71"/>
      <c r="E615" s="70">
        <v>75.6</v>
      </c>
      <c r="F615" s="70"/>
      <c r="G615" s="70">
        <v>207</v>
      </c>
      <c r="H615" s="72" t="s">
        <v>96</v>
      </c>
      <c r="I615" s="73"/>
      <c r="J615" s="77"/>
      <c r="K615" s="80" t="s">
        <v>34</v>
      </c>
      <c r="L615" s="81">
        <f>L611/6</f>
        <v>62.35</v>
      </c>
      <c r="O615" s="50"/>
      <c r="P615" s="51" t="s">
        <v>17</v>
      </c>
      <c r="Q615" s="51" t="s">
        <v>18</v>
      </c>
      <c r="R615" s="52" t="s">
        <v>17</v>
      </c>
      <c r="S615" s="52" t="s">
        <v>18</v>
      </c>
      <c r="T615" s="53"/>
      <c r="U615" s="54"/>
      <c r="V615" s="55"/>
      <c r="W615" s="56" t="s">
        <v>19</v>
      </c>
      <c r="X615" s="57"/>
      <c r="Y615" s="49">
        <f>Q640+S640</f>
        <v>601.65</v>
      </c>
      <c r="AB615" s="33" t="s">
        <v>318</v>
      </c>
      <c r="AC615" s="34"/>
      <c r="AD615" s="34"/>
      <c r="AE615" s="34"/>
      <c r="AF615" s="34"/>
      <c r="AG615" s="34"/>
      <c r="AH615" s="34"/>
      <c r="AI615" s="34"/>
      <c r="AJ615" s="34"/>
      <c r="AK615" s="34"/>
      <c r="AL615" s="35"/>
      <c r="AO615" s="96"/>
      <c r="AP615" s="97"/>
      <c r="AQ615" s="98"/>
      <c r="AR615" s="99"/>
      <c r="AS615" s="98"/>
      <c r="AT615" s="98"/>
      <c r="AU615" s="72"/>
      <c r="AV615" s="73"/>
      <c r="BB615" s="69"/>
      <c r="BC615" s="70">
        <v>15</v>
      </c>
      <c r="BD615" s="85"/>
      <c r="BE615" s="70"/>
      <c r="BF615" s="70"/>
      <c r="BG615" s="70"/>
      <c r="BH615" s="72"/>
      <c r="BI615" s="73"/>
      <c r="BJ615" s="58"/>
      <c r="BK615" s="58"/>
      <c r="BL615" s="58"/>
    </row>
    <row r="616" ht="15.75" spans="2:64">
      <c r="B616" s="59"/>
      <c r="C616" s="60">
        <v>384</v>
      </c>
      <c r="D616" s="61"/>
      <c r="E616" s="62"/>
      <c r="F616" s="61"/>
      <c r="G616" s="61">
        <v>1500</v>
      </c>
      <c r="H616" s="75" t="s">
        <v>48</v>
      </c>
      <c r="I616" s="76"/>
      <c r="J616" s="77"/>
      <c r="K616" s="82" t="s">
        <v>37</v>
      </c>
      <c r="L616" s="83">
        <f>L611/8</f>
        <v>46.7625</v>
      </c>
      <c r="O616" s="59">
        <v>2387</v>
      </c>
      <c r="P616">
        <v>104</v>
      </c>
      <c r="Q616" s="61"/>
      <c r="R616" s="60">
        <v>142</v>
      </c>
      <c r="S616" s="61"/>
      <c r="T616" s="61">
        <v>500</v>
      </c>
      <c r="U616" s="63" t="s">
        <v>66</v>
      </c>
      <c r="V616" s="64"/>
      <c r="W616" s="65" t="s">
        <v>21</v>
      </c>
      <c r="X616" s="66"/>
      <c r="Y616" s="67">
        <f>T640</f>
        <v>2358.82</v>
      </c>
      <c r="AB616" s="36"/>
      <c r="AC616" s="37"/>
      <c r="AD616" s="37"/>
      <c r="AE616" s="37"/>
      <c r="AF616" s="37"/>
      <c r="AG616" s="37"/>
      <c r="AH616" s="37"/>
      <c r="AI616" s="37"/>
      <c r="AJ616" s="37"/>
      <c r="AK616" s="37"/>
      <c r="AL616" s="38"/>
      <c r="AO616" s="59"/>
      <c r="AP616" s="60"/>
      <c r="AQ616" s="61"/>
      <c r="AR616" s="62"/>
      <c r="AS616" s="61"/>
      <c r="AT616" s="61"/>
      <c r="AU616" s="75"/>
      <c r="AV616" s="76"/>
      <c r="BB616" s="59"/>
      <c r="BC616" s="60">
        <v>1281</v>
      </c>
      <c r="BD616" s="61">
        <v>119</v>
      </c>
      <c r="BE616" s="62"/>
      <c r="BF616" s="61"/>
      <c r="BG616" s="61"/>
      <c r="BH616" s="75"/>
      <c r="BI616" s="76"/>
    </row>
    <row r="617" ht="15.75" spans="2:64">
      <c r="B617" s="69"/>
      <c r="C617" s="70">
        <v>47</v>
      </c>
      <c r="D617" s="85"/>
      <c r="E617" s="70"/>
      <c r="F617" s="70"/>
      <c r="G617" s="70"/>
      <c r="H617" s="72"/>
      <c r="I617" s="73"/>
      <c r="J617" s="86"/>
      <c r="K617" s="77"/>
      <c r="L617" s="87"/>
      <c r="O617" s="69"/>
      <c r="P617" s="70">
        <v>460</v>
      </c>
      <c r="Q617" s="71">
        <v>90</v>
      </c>
      <c r="R617" s="70">
        <v>471</v>
      </c>
      <c r="S617" s="71">
        <v>70.65</v>
      </c>
      <c r="T617" s="70">
        <v>33.8</v>
      </c>
      <c r="U617" s="72" t="s">
        <v>95</v>
      </c>
      <c r="V617" s="73"/>
      <c r="W617" s="74" t="s">
        <v>26</v>
      </c>
      <c r="X617" s="57"/>
      <c r="Y617" s="49">
        <f>O640+Y614+Y615-Y616-R640-S640</f>
        <v>3622.18</v>
      </c>
      <c r="AB617" s="39" t="s">
        <v>12</v>
      </c>
      <c r="AC617" s="40" t="s">
        <v>13</v>
      </c>
      <c r="AD617" s="41"/>
      <c r="AE617" s="42" t="s">
        <v>14</v>
      </c>
      <c r="AF617" s="43"/>
      <c r="AG617" s="44" t="s">
        <v>15</v>
      </c>
      <c r="AH617" s="45"/>
      <c r="AI617" s="46"/>
      <c r="AJ617" s="47" t="s">
        <v>16</v>
      </c>
      <c r="AK617" s="48"/>
      <c r="AL617" s="49">
        <f>AC645+AE645</f>
        <v>4529</v>
      </c>
      <c r="AO617" s="96"/>
      <c r="AP617" s="97"/>
      <c r="AQ617" s="98"/>
      <c r="AR617" s="99"/>
      <c r="AS617" s="98"/>
      <c r="AT617" s="98"/>
      <c r="AU617" s="72"/>
      <c r="AV617" s="73"/>
      <c r="BB617" s="96"/>
      <c r="BC617" s="97">
        <v>204</v>
      </c>
      <c r="BD617" s="98">
        <v>16</v>
      </c>
      <c r="BE617" s="99"/>
      <c r="BF617" s="98"/>
      <c r="BG617" s="98"/>
      <c r="BH617" s="72"/>
      <c r="BI617" s="73"/>
    </row>
    <row r="618" ht="15.75" spans="2:64">
      <c r="B618" s="59"/>
      <c r="C618" s="60"/>
      <c r="D618" s="61"/>
      <c r="E618" s="62">
        <v>316</v>
      </c>
      <c r="F618" s="61"/>
      <c r="G618" s="61"/>
      <c r="H618" s="75"/>
      <c r="I618" s="76"/>
      <c r="J618" s="77"/>
      <c r="K618" s="58"/>
      <c r="L618" s="58"/>
      <c r="O618" s="59"/>
      <c r="P618" s="60">
        <v>478</v>
      </c>
      <c r="Q618" s="60">
        <v>52</v>
      </c>
      <c r="R618" s="60"/>
      <c r="S618" s="61"/>
      <c r="T618" s="61">
        <v>25</v>
      </c>
      <c r="U618" s="75" t="s">
        <v>29</v>
      </c>
      <c r="V618" s="76"/>
      <c r="W618" s="77"/>
      <c r="X618" s="78" t="s">
        <v>30</v>
      </c>
      <c r="Y618" s="79">
        <f>Y615/4</f>
        <v>150.4125</v>
      </c>
      <c r="AB618" s="50"/>
      <c r="AC618" s="51" t="s">
        <v>17</v>
      </c>
      <c r="AD618" s="51" t="s">
        <v>18</v>
      </c>
      <c r="AE618" s="52" t="s">
        <v>17</v>
      </c>
      <c r="AF618" s="52" t="s">
        <v>18</v>
      </c>
      <c r="AG618" s="53"/>
      <c r="AH618" s="54"/>
      <c r="AI618" s="55"/>
      <c r="AJ618" s="56" t="s">
        <v>19</v>
      </c>
      <c r="AK618" s="57"/>
      <c r="AL618" s="49">
        <f>AD645+AF645</f>
        <v>340.5</v>
      </c>
      <c r="AO618" s="59"/>
      <c r="AP618" s="60"/>
      <c r="AQ618" s="61"/>
      <c r="AR618" s="62"/>
      <c r="AS618" s="61"/>
      <c r="AT618" s="61"/>
      <c r="AU618" s="75"/>
      <c r="AV618" s="76"/>
      <c r="BB618" s="59"/>
      <c r="BC618" s="60">
        <v>710</v>
      </c>
      <c r="BD618" s="61">
        <v>75</v>
      </c>
      <c r="BE618" s="62"/>
      <c r="BF618" s="61"/>
      <c r="BG618" s="61"/>
      <c r="BH618" s="75"/>
      <c r="BI618" s="76"/>
    </row>
    <row r="619" ht="15.75" spans="2:64">
      <c r="B619" s="69"/>
      <c r="C619" s="70">
        <v>550</v>
      </c>
      <c r="D619" s="71">
        <v>50</v>
      </c>
      <c r="E619" s="70"/>
      <c r="F619" s="70"/>
      <c r="G619" s="70"/>
      <c r="H619" s="72"/>
      <c r="I619" s="73"/>
      <c r="J619" s="77"/>
      <c r="K619" s="58"/>
      <c r="L619" s="58"/>
      <c r="O619" s="69"/>
      <c r="P619" s="70">
        <v>247</v>
      </c>
      <c r="Q619" s="71">
        <v>53</v>
      </c>
      <c r="R619" s="70"/>
      <c r="S619" s="70"/>
      <c r="T619" s="70">
        <v>50</v>
      </c>
      <c r="U619" s="72" t="s">
        <v>233</v>
      </c>
      <c r="V619" s="73"/>
      <c r="W619" s="77"/>
      <c r="X619" s="80" t="s">
        <v>34</v>
      </c>
      <c r="Y619" s="81">
        <f>Y615/6</f>
        <v>100.275</v>
      </c>
      <c r="AB619" s="59">
        <v>3279</v>
      </c>
      <c r="AC619" s="68">
        <v>68</v>
      </c>
      <c r="AD619" s="61"/>
      <c r="AE619" s="62"/>
      <c r="AF619" s="61"/>
      <c r="AG619" s="61">
        <v>37</v>
      </c>
      <c r="AH619" s="63" t="s">
        <v>319</v>
      </c>
      <c r="AI619" s="64"/>
      <c r="AJ619" s="65" t="s">
        <v>21</v>
      </c>
      <c r="AK619" s="66"/>
      <c r="AL619" s="67">
        <f>AG645</f>
        <v>3701</v>
      </c>
      <c r="AO619" s="96"/>
      <c r="AP619" s="97"/>
      <c r="AQ619" s="98"/>
      <c r="AR619" s="99"/>
      <c r="AS619" s="98"/>
      <c r="AT619" s="98"/>
      <c r="AU619" s="72"/>
      <c r="AV619" s="73"/>
      <c r="BB619" s="96"/>
      <c r="BC619" s="97"/>
      <c r="BD619" s="98"/>
      <c r="BE619" s="99">
        <v>455</v>
      </c>
      <c r="BF619" s="98">
        <v>45.5</v>
      </c>
      <c r="BG619" s="98"/>
      <c r="BH619" s="72"/>
      <c r="BI619" s="73"/>
    </row>
    <row r="620" ht="15.75" spans="2:64">
      <c r="B620" s="59"/>
      <c r="C620" s="60"/>
      <c r="D620" s="88"/>
      <c r="E620" s="62">
        <v>440</v>
      </c>
      <c r="F620" s="61">
        <v>44</v>
      </c>
      <c r="G620" s="61"/>
      <c r="H620" s="75"/>
      <c r="I620" s="76"/>
      <c r="J620" s="77"/>
      <c r="K620" s="58"/>
      <c r="L620" s="58"/>
      <c r="O620" s="59"/>
      <c r="P620">
        <v>15</v>
      </c>
      <c r="Q620" s="61"/>
      <c r="R620" s="62"/>
      <c r="S620" s="61"/>
      <c r="T620" s="61">
        <v>17.75</v>
      </c>
      <c r="U620" s="75" t="s">
        <v>164</v>
      </c>
      <c r="V620" s="76"/>
      <c r="W620" s="77"/>
      <c r="X620" s="82" t="s">
        <v>37</v>
      </c>
      <c r="Y620" s="83">
        <f>Y615/8</f>
        <v>75.20625</v>
      </c>
      <c r="AB620" s="69"/>
      <c r="AC620" s="70">
        <v>570</v>
      </c>
      <c r="AD620" s="71">
        <v>55</v>
      </c>
      <c r="AE620" s="70"/>
      <c r="AF620" s="70"/>
      <c r="AG620" s="70">
        <v>3134</v>
      </c>
      <c r="AH620" s="72" t="s">
        <v>48</v>
      </c>
      <c r="AI620" s="73"/>
      <c r="AJ620" s="74" t="s">
        <v>26</v>
      </c>
      <c r="AK620" s="57"/>
      <c r="AL620" s="49">
        <f>AB645+AL617+AL618-AL619-AE645-AF645</f>
        <v>1153</v>
      </c>
      <c r="AO620" s="59"/>
      <c r="AP620" s="60"/>
      <c r="AQ620" s="61"/>
      <c r="AR620" s="62"/>
      <c r="AS620" s="61"/>
      <c r="AT620" s="61"/>
      <c r="AU620" s="75"/>
      <c r="AV620" s="76"/>
      <c r="BB620" s="59"/>
      <c r="BC620" s="60">
        <v>30</v>
      </c>
      <c r="BD620" s="61"/>
      <c r="BE620" s="62"/>
      <c r="BF620" s="61"/>
      <c r="BG620" s="61"/>
      <c r="BH620" s="75"/>
      <c r="BI620" s="76"/>
    </row>
    <row r="621" spans="2:64">
      <c r="B621" s="59"/>
      <c r="C621" s="60"/>
      <c r="D621" s="88"/>
      <c r="E621" s="62"/>
      <c r="F621" s="61"/>
      <c r="G621" s="61"/>
      <c r="H621" s="75"/>
      <c r="I621" s="76"/>
      <c r="J621" s="77"/>
      <c r="K621" s="58"/>
      <c r="L621" s="58"/>
      <c r="O621" s="59"/>
      <c r="Q621" s="61"/>
      <c r="R621" s="62"/>
      <c r="S621" s="61"/>
      <c r="T621" s="61"/>
      <c r="U621" s="75"/>
      <c r="V621" s="76"/>
      <c r="W621" s="77"/>
      <c r="X621" s="82"/>
      <c r="Y621" s="83"/>
      <c r="AB621" s="69"/>
      <c r="AC621" s="112"/>
      <c r="AD621" s="71"/>
      <c r="AE621" s="58"/>
      <c r="AF621" s="70"/>
      <c r="AG621" s="70"/>
      <c r="AH621" s="72"/>
      <c r="AI621" s="73"/>
      <c r="AJ621" s="125"/>
      <c r="AK621" s="125"/>
      <c r="AL621" s="126"/>
      <c r="AO621" s="59"/>
      <c r="AP621" s="60"/>
      <c r="AQ621" s="61"/>
      <c r="AR621" s="62"/>
      <c r="AS621" s="61"/>
      <c r="AT621" s="61"/>
      <c r="AU621" s="75"/>
      <c r="AV621" s="76"/>
      <c r="BB621" s="59"/>
      <c r="BC621" s="60"/>
      <c r="BD621" s="61">
        <v>50</v>
      </c>
      <c r="BE621" s="62">
        <v>394</v>
      </c>
      <c r="BF621" s="61"/>
      <c r="BG621" s="61"/>
      <c r="BH621" s="75"/>
      <c r="BI621" s="76"/>
    </row>
    <row r="622" spans="2:64">
      <c r="B622" s="59"/>
      <c r="C622" s="60"/>
      <c r="D622" s="88"/>
      <c r="E622" s="62"/>
      <c r="F622" s="61"/>
      <c r="G622" s="61"/>
      <c r="H622" s="75"/>
      <c r="I622" s="76"/>
      <c r="J622" s="77"/>
      <c r="K622" s="58"/>
      <c r="L622" s="58"/>
      <c r="O622" s="59"/>
      <c r="Q622" s="61"/>
      <c r="R622" s="62"/>
      <c r="S622" s="61"/>
      <c r="T622" s="61"/>
      <c r="U622" s="75"/>
      <c r="V622" s="76"/>
      <c r="W622" s="77"/>
      <c r="X622" s="82"/>
      <c r="Y622" s="83"/>
      <c r="AB622" s="69"/>
      <c r="AC622" s="112"/>
      <c r="AD622" s="71"/>
      <c r="AE622" s="58"/>
      <c r="AF622" s="70"/>
      <c r="AG622" s="70"/>
      <c r="AH622" s="72"/>
      <c r="AI622" s="73"/>
      <c r="AJ622" s="125"/>
      <c r="AK622" s="125"/>
      <c r="AL622" s="126"/>
      <c r="AO622" s="59"/>
      <c r="AP622" s="60"/>
      <c r="AQ622" s="61"/>
      <c r="AR622" s="62"/>
      <c r="AS622" s="61"/>
      <c r="AT622" s="61"/>
      <c r="AU622" s="75"/>
      <c r="AV622" s="76"/>
      <c r="BB622" s="59"/>
      <c r="BC622" s="60">
        <v>40</v>
      </c>
      <c r="BD622" s="61"/>
      <c r="BE622" s="62"/>
      <c r="BF622" s="61"/>
      <c r="BG622" s="61"/>
      <c r="BH622" s="75"/>
      <c r="BI622" s="76"/>
    </row>
    <row r="623" ht="15.75" spans="2:64">
      <c r="B623" s="69"/>
      <c r="C623" s="70"/>
      <c r="D623" s="71"/>
      <c r="E623" s="70">
        <v>291</v>
      </c>
      <c r="F623" s="70">
        <v>58.2</v>
      </c>
      <c r="G623" s="70"/>
      <c r="H623" s="72"/>
      <c r="I623" s="73"/>
      <c r="J623" s="89" t="s">
        <v>44</v>
      </c>
      <c r="K623" s="90" t="s">
        <v>45</v>
      </c>
      <c r="L623" s="90" t="s">
        <v>46</v>
      </c>
      <c r="O623" s="69"/>
      <c r="P623" s="60">
        <v>203</v>
      </c>
      <c r="Q623" s="85">
        <v>31</v>
      </c>
      <c r="R623" s="70"/>
      <c r="S623" s="70"/>
      <c r="T623" s="70">
        <v>15.75</v>
      </c>
      <c r="U623" s="72" t="s">
        <v>201</v>
      </c>
      <c r="V623" s="73"/>
      <c r="W623" s="86"/>
      <c r="X623" s="77"/>
      <c r="Y623" s="87"/>
      <c r="AB623" s="59"/>
      <c r="AC623" s="60">
        <v>235</v>
      </c>
      <c r="AD623" s="61">
        <v>35</v>
      </c>
      <c r="AE623" s="62"/>
      <c r="AF623" s="61"/>
      <c r="AG623" s="61">
        <v>500</v>
      </c>
      <c r="AH623" s="75" t="s">
        <v>50</v>
      </c>
      <c r="AI623" s="76"/>
      <c r="AJ623" s="77"/>
      <c r="AK623" s="78" t="s">
        <v>30</v>
      </c>
      <c r="AL623" s="79">
        <f>AL618/4</f>
        <v>85.125</v>
      </c>
      <c r="AO623" s="96"/>
      <c r="AP623" s="97"/>
      <c r="AQ623" s="98"/>
      <c r="AR623" s="99"/>
      <c r="AS623" s="98"/>
      <c r="AT623" s="98"/>
      <c r="AU623" s="72"/>
      <c r="AV623" s="73"/>
      <c r="BB623" s="96"/>
      <c r="BC623" s="97">
        <v>608</v>
      </c>
      <c r="BD623" s="98">
        <v>22</v>
      </c>
      <c r="BE623" s="99"/>
      <c r="BF623" s="98"/>
      <c r="BG623" s="98"/>
      <c r="BH623" s="72"/>
      <c r="BI623" s="73"/>
    </row>
    <row r="624" ht="15.75" spans="2:64">
      <c r="B624" s="59"/>
      <c r="C624" s="60">
        <v>175</v>
      </c>
      <c r="D624" s="61">
        <v>30</v>
      </c>
      <c r="E624" s="62"/>
      <c r="F624" s="61"/>
      <c r="G624" s="61"/>
      <c r="H624" s="75"/>
      <c r="I624" s="76"/>
      <c r="J624" s="92" t="s">
        <v>47</v>
      </c>
      <c r="K624" s="93" t="s">
        <v>48</v>
      </c>
      <c r="L624" s="93" t="s">
        <v>320</v>
      </c>
      <c r="O624" s="59"/>
      <c r="P624" s="60">
        <v>445</v>
      </c>
      <c r="Q624" s="61">
        <v>28</v>
      </c>
      <c r="R624" s="62"/>
      <c r="S624" s="61"/>
      <c r="T624" s="61">
        <v>10.41</v>
      </c>
      <c r="U624" s="75" t="s">
        <v>275</v>
      </c>
      <c r="V624" s="76"/>
      <c r="W624" s="77"/>
      <c r="X624" s="58"/>
      <c r="Y624" s="58"/>
      <c r="AB624" s="69"/>
      <c r="AC624" s="70">
        <v>542</v>
      </c>
      <c r="AD624" s="71"/>
      <c r="AE624" s="70"/>
      <c r="AF624" s="70"/>
      <c r="AG624" s="70">
        <v>30</v>
      </c>
      <c r="AH624" s="72" t="s">
        <v>29</v>
      </c>
      <c r="AI624" s="73"/>
      <c r="AJ624" s="77"/>
      <c r="AK624" s="80" t="s">
        <v>34</v>
      </c>
      <c r="AL624" s="81">
        <f>AL618/6</f>
        <v>56.75</v>
      </c>
      <c r="AO624" s="102">
        <f t="shared" ref="AO624:AT624" si="108">SUM(AO596:AO623)</f>
        <v>463</v>
      </c>
      <c r="AP624" s="103">
        <f t="shared" si="108"/>
        <v>2736</v>
      </c>
      <c r="AQ624" s="104">
        <f t="shared" si="108"/>
        <v>216</v>
      </c>
      <c r="AR624" s="105">
        <f t="shared" si="108"/>
        <v>3360</v>
      </c>
      <c r="AS624" s="106">
        <f t="shared" si="108"/>
        <v>460.4</v>
      </c>
      <c r="AT624" s="107">
        <f t="shared" si="108"/>
        <v>494</v>
      </c>
      <c r="AU624" s="108" t="s">
        <v>54</v>
      </c>
      <c r="AV624" s="109"/>
      <c r="BB624" s="102">
        <f t="shared" ref="BB624:BG624" si="109">SUM(BB602:BB623)</f>
        <v>2068</v>
      </c>
      <c r="BC624" s="103">
        <f t="shared" si="109"/>
        <v>4610</v>
      </c>
      <c r="BD624" s="104">
        <f t="shared" si="109"/>
        <v>392</v>
      </c>
      <c r="BE624" s="105">
        <f t="shared" si="109"/>
        <v>5960</v>
      </c>
      <c r="BF624" s="106">
        <f t="shared" si="109"/>
        <v>612.55</v>
      </c>
      <c r="BG624" s="107">
        <f t="shared" si="109"/>
        <v>972.5</v>
      </c>
      <c r="BH624" s="108" t="s">
        <v>54</v>
      </c>
      <c r="BI624" s="109"/>
    </row>
    <row r="625" spans="2:64">
      <c r="B625" s="69"/>
      <c r="C625" s="70">
        <v>230</v>
      </c>
      <c r="D625" s="71">
        <v>25</v>
      </c>
      <c r="E625" s="70"/>
      <c r="F625" s="70"/>
      <c r="G625" s="70"/>
      <c r="H625" s="72"/>
      <c r="I625" s="73"/>
      <c r="J625" s="94" t="s">
        <v>52</v>
      </c>
      <c r="K625" s="95" t="s">
        <v>27</v>
      </c>
      <c r="L625" s="95" t="s">
        <v>39</v>
      </c>
      <c r="O625" s="69"/>
      <c r="P625" s="70"/>
      <c r="Q625" s="71"/>
      <c r="R625" s="70">
        <v>322</v>
      </c>
      <c r="S625" s="70">
        <v>32.2</v>
      </c>
      <c r="T625" s="70">
        <v>1.11</v>
      </c>
      <c r="U625" s="72" t="s">
        <v>91</v>
      </c>
      <c r="V625" s="73"/>
      <c r="W625" s="77"/>
      <c r="X625" s="58"/>
      <c r="Y625" s="58"/>
      <c r="AB625" s="59"/>
      <c r="AC625" s="60"/>
      <c r="AD625" s="61"/>
      <c r="AE625" s="62">
        <v>208</v>
      </c>
      <c r="AF625" s="61">
        <v>10.4</v>
      </c>
      <c r="AG625" s="61"/>
      <c r="AH625" s="75"/>
      <c r="AI625" s="84"/>
      <c r="AJ625" s="77"/>
      <c r="AK625" s="82" t="s">
        <v>37</v>
      </c>
      <c r="AL625" s="83">
        <f>AL618/8</f>
        <v>42.5625</v>
      </c>
    </row>
    <row r="626" ht="15.75" spans="2:64">
      <c r="B626" s="59"/>
      <c r="C626" s="60"/>
      <c r="D626" s="61"/>
      <c r="E626" s="62">
        <v>65</v>
      </c>
      <c r="F626" s="61"/>
      <c r="G626" s="61"/>
      <c r="H626" s="75"/>
      <c r="I626" s="76"/>
      <c r="J626" s="77"/>
      <c r="K626" s="77"/>
      <c r="L626" s="87"/>
      <c r="O626" s="59"/>
      <c r="P626" s="60"/>
      <c r="Q626" s="88"/>
      <c r="R626" s="62">
        <v>173</v>
      </c>
      <c r="S626" s="61">
        <v>17.3</v>
      </c>
      <c r="T626" s="61">
        <v>20</v>
      </c>
      <c r="U626" s="75" t="s">
        <v>237</v>
      </c>
      <c r="V626" s="76"/>
      <c r="W626" s="77"/>
      <c r="X626" s="58"/>
      <c r="Y626" s="58"/>
      <c r="AB626" s="69"/>
      <c r="AC626" s="70"/>
      <c r="AD626" s="85">
        <v>40</v>
      </c>
      <c r="AE626" s="70">
        <v>875</v>
      </c>
      <c r="AF626" s="70"/>
      <c r="AG626" s="70"/>
      <c r="AH626" s="72"/>
      <c r="AI626" s="73"/>
      <c r="AJ626" s="86"/>
      <c r="AK626" s="77"/>
      <c r="AL626" s="87"/>
    </row>
    <row r="627" spans="2:64">
      <c r="B627" s="69"/>
      <c r="C627" s="70"/>
      <c r="D627" s="71"/>
      <c r="E627" s="70">
        <v>416</v>
      </c>
      <c r="F627" s="70"/>
      <c r="G627" s="70"/>
      <c r="H627" s="72"/>
      <c r="I627" s="73"/>
      <c r="J627" s="58"/>
      <c r="K627" s="58"/>
      <c r="L627" s="58"/>
      <c r="O627" s="69"/>
      <c r="P627" s="70">
        <v>38</v>
      </c>
      <c r="Q627" s="71"/>
      <c r="R627" s="70"/>
      <c r="S627" s="70"/>
      <c r="T627" s="70">
        <v>390</v>
      </c>
      <c r="U627" s="72" t="s">
        <v>221</v>
      </c>
      <c r="V627" s="73"/>
      <c r="W627" s="89" t="s">
        <v>44</v>
      </c>
      <c r="X627" s="90" t="s">
        <v>45</v>
      </c>
      <c r="Y627" s="90" t="s">
        <v>46</v>
      </c>
      <c r="AB627" s="59"/>
      <c r="AC627" s="60"/>
      <c r="AD627" s="61"/>
      <c r="AE627" s="62">
        <v>197</v>
      </c>
      <c r="AF627" s="61">
        <v>19.7</v>
      </c>
      <c r="AG627" s="61"/>
      <c r="AH627" s="75"/>
      <c r="AI627" s="76"/>
      <c r="AJ627" s="77"/>
      <c r="AK627" s="58"/>
      <c r="AL627" s="58"/>
      <c r="AO627" s="33" t="s">
        <v>321</v>
      </c>
      <c r="AP627" s="34"/>
      <c r="AQ627" s="34"/>
      <c r="AR627" s="34"/>
      <c r="AS627" s="34"/>
      <c r="AT627" s="34"/>
      <c r="AU627" s="34"/>
      <c r="AV627" s="34"/>
      <c r="AW627" s="34"/>
      <c r="AX627" s="34"/>
      <c r="AY627" s="35"/>
      <c r="BB627" s="33" t="s">
        <v>322</v>
      </c>
      <c r="BC627" s="34"/>
      <c r="BD627" s="34"/>
      <c r="BE627" s="34"/>
      <c r="BF627" s="34"/>
      <c r="BG627" s="34"/>
      <c r="BH627" s="34"/>
      <c r="BI627" s="34"/>
      <c r="BJ627" s="34"/>
      <c r="BK627" s="34"/>
      <c r="BL627" s="35"/>
    </row>
    <row r="628" ht="15.75" spans="2:64">
      <c r="B628" s="59"/>
      <c r="C628" s="60">
        <v>471</v>
      </c>
      <c r="D628" s="61">
        <v>16</v>
      </c>
      <c r="E628" s="62"/>
      <c r="F628" s="61"/>
      <c r="G628" s="61"/>
      <c r="H628" s="75"/>
      <c r="I628" s="76"/>
      <c r="J628" s="58"/>
      <c r="K628" s="58"/>
      <c r="L628" s="58"/>
      <c r="O628" s="59"/>
      <c r="P628" s="60">
        <v>607</v>
      </c>
      <c r="Q628" s="61">
        <v>43</v>
      </c>
      <c r="R628" s="62"/>
      <c r="S628" s="61"/>
      <c r="T628" s="61">
        <v>410</v>
      </c>
      <c r="U628" s="75" t="s">
        <v>134</v>
      </c>
      <c r="V628" s="76"/>
      <c r="W628" s="92" t="s">
        <v>47</v>
      </c>
      <c r="X628" s="93" t="s">
        <v>283</v>
      </c>
      <c r="Y628" s="93" t="s">
        <v>43</v>
      </c>
      <c r="AB628" s="69"/>
      <c r="AC628" s="70"/>
      <c r="AD628" s="71"/>
      <c r="AE628" s="70">
        <v>518</v>
      </c>
      <c r="AF628" s="70">
        <v>51.8</v>
      </c>
      <c r="AG628" s="70"/>
      <c r="AH628" s="72"/>
      <c r="AI628" s="73"/>
      <c r="AJ628" s="77"/>
      <c r="AK628" s="58"/>
      <c r="AL628" s="58"/>
      <c r="AO628" s="36"/>
      <c r="AP628" s="37"/>
      <c r="AQ628" s="37"/>
      <c r="AR628" s="37"/>
      <c r="AS628" s="37"/>
      <c r="AT628" s="37"/>
      <c r="AU628" s="37"/>
      <c r="AV628" s="37"/>
      <c r="AW628" s="37"/>
      <c r="AX628" s="37"/>
      <c r="AY628" s="38"/>
      <c r="BB628" s="36"/>
      <c r="BC628" s="37"/>
      <c r="BD628" s="37"/>
      <c r="BE628" s="37"/>
      <c r="BF628" s="37"/>
      <c r="BG628" s="37"/>
      <c r="BH628" s="37"/>
      <c r="BI628" s="37"/>
      <c r="BJ628" s="37"/>
      <c r="BK628" s="37"/>
      <c r="BL628" s="38"/>
    </row>
    <row r="629" ht="15.75" spans="2:64">
      <c r="B629" s="69"/>
      <c r="C629" s="71"/>
      <c r="D629" s="71"/>
      <c r="E629" s="70">
        <v>317</v>
      </c>
      <c r="F629" s="70"/>
      <c r="G629" s="70"/>
      <c r="H629" s="72"/>
      <c r="I629" s="73"/>
      <c r="J629" s="58"/>
      <c r="K629" s="58"/>
      <c r="L629" s="58"/>
      <c r="O629" s="69"/>
      <c r="P629" s="70">
        <v>170</v>
      </c>
      <c r="Q629" s="71"/>
      <c r="R629" s="70"/>
      <c r="S629" s="70"/>
      <c r="T629" s="70">
        <v>885</v>
      </c>
      <c r="U629" s="72" t="s">
        <v>39</v>
      </c>
      <c r="V629" s="73"/>
      <c r="W629" s="94" t="s">
        <v>52</v>
      </c>
      <c r="X629" s="95" t="s">
        <v>27</v>
      </c>
      <c r="Y629" s="95" t="s">
        <v>65</v>
      </c>
      <c r="AB629" s="59"/>
      <c r="AC629" s="60"/>
      <c r="AD629" s="88"/>
      <c r="AE629" s="62">
        <v>831</v>
      </c>
      <c r="AF629" s="61">
        <v>83.1</v>
      </c>
      <c r="AG629" s="61"/>
      <c r="AH629" s="75"/>
      <c r="AI629" s="76"/>
      <c r="AJ629" s="77"/>
      <c r="AK629" s="58"/>
      <c r="AL629" s="58"/>
      <c r="AO629" s="39" t="s">
        <v>12</v>
      </c>
      <c r="AP629" s="40" t="s">
        <v>13</v>
      </c>
      <c r="AQ629" s="41"/>
      <c r="AR629" s="42" t="s">
        <v>14</v>
      </c>
      <c r="AS629" s="43"/>
      <c r="AT629" s="44" t="s">
        <v>15</v>
      </c>
      <c r="AU629" s="45"/>
      <c r="AV629" s="46"/>
      <c r="AW629" s="47" t="s">
        <v>16</v>
      </c>
      <c r="AX629" s="48"/>
      <c r="AY629" s="49">
        <f>AP649+AR649</f>
        <v>2838</v>
      </c>
      <c r="BB629" s="39" t="s">
        <v>12</v>
      </c>
      <c r="BC629" s="40" t="s">
        <v>13</v>
      </c>
      <c r="BD629" s="41"/>
      <c r="BE629" s="42" t="s">
        <v>14</v>
      </c>
      <c r="BF629" s="43"/>
      <c r="BG629" s="44" t="s">
        <v>15</v>
      </c>
      <c r="BH629" s="45"/>
      <c r="BI629" s="46"/>
      <c r="BJ629" s="47" t="s">
        <v>16</v>
      </c>
      <c r="BK629" s="48"/>
      <c r="BL629" s="49">
        <f>BC653+BE653</f>
        <v>8592</v>
      </c>
    </row>
    <row r="630" ht="15.75" spans="2:64">
      <c r="B630" s="59"/>
      <c r="C630" s="61">
        <v>537</v>
      </c>
      <c r="D630" s="61">
        <v>55</v>
      </c>
      <c r="E630" s="62"/>
      <c r="F630" s="61"/>
      <c r="G630" s="61"/>
      <c r="H630" s="75"/>
      <c r="I630" s="76"/>
      <c r="J630" s="58"/>
      <c r="K630" s="58"/>
      <c r="L630" s="58"/>
      <c r="O630" s="59"/>
      <c r="P630" s="60"/>
      <c r="Q630" s="61"/>
      <c r="R630" s="62">
        <v>230</v>
      </c>
      <c r="S630" s="61">
        <v>23</v>
      </c>
      <c r="T630" s="61"/>
      <c r="U630" s="75"/>
      <c r="V630" s="76"/>
      <c r="W630" s="77"/>
      <c r="X630" s="77"/>
      <c r="Y630" s="87"/>
      <c r="AB630" s="69"/>
      <c r="AC630" s="70">
        <v>30</v>
      </c>
      <c r="AD630" s="71"/>
      <c r="AE630" s="70"/>
      <c r="AF630" s="70"/>
      <c r="AG630" s="70"/>
      <c r="AH630" s="72"/>
      <c r="AI630" s="73"/>
      <c r="AJ630" s="89" t="s">
        <v>44</v>
      </c>
      <c r="AK630" s="90" t="s">
        <v>45</v>
      </c>
      <c r="AL630" s="90" t="s">
        <v>46</v>
      </c>
      <c r="AO630" s="50"/>
      <c r="AP630" s="51" t="s">
        <v>17</v>
      </c>
      <c r="AQ630" s="51" t="s">
        <v>18</v>
      </c>
      <c r="AR630" s="52" t="s">
        <v>17</v>
      </c>
      <c r="AS630" s="52" t="s">
        <v>18</v>
      </c>
      <c r="AT630" s="53"/>
      <c r="AU630" s="54"/>
      <c r="AV630" s="55"/>
      <c r="AW630" s="56" t="s">
        <v>19</v>
      </c>
      <c r="AX630" s="57"/>
      <c r="AY630" s="49">
        <f>AQ649+AS649</f>
        <v>288.3</v>
      </c>
      <c r="BB630" s="50"/>
      <c r="BC630" s="51" t="s">
        <v>17</v>
      </c>
      <c r="BD630" s="51" t="s">
        <v>18</v>
      </c>
      <c r="BE630" s="52" t="s">
        <v>17</v>
      </c>
      <c r="BF630" s="52" t="s">
        <v>18</v>
      </c>
      <c r="BG630" s="53"/>
      <c r="BH630" s="54"/>
      <c r="BI630" s="55"/>
      <c r="BJ630" s="56" t="s">
        <v>19</v>
      </c>
      <c r="BK630" s="57"/>
      <c r="BL630" s="49">
        <f>BD653+BF653</f>
        <v>774.63</v>
      </c>
    </row>
    <row r="631" ht="18" customHeight="1" spans="2:64">
      <c r="B631" s="69"/>
      <c r="C631" s="70">
        <v>10</v>
      </c>
      <c r="D631" s="71"/>
      <c r="E631" s="70"/>
      <c r="F631" s="70"/>
      <c r="G631" s="70"/>
      <c r="H631" s="72"/>
      <c r="I631" s="73"/>
      <c r="J631" s="58"/>
      <c r="K631" s="58"/>
      <c r="L631" s="58"/>
      <c r="O631" s="69"/>
      <c r="P631" s="70">
        <v>235</v>
      </c>
      <c r="Q631" s="71">
        <v>25</v>
      </c>
      <c r="R631" s="70"/>
      <c r="S631" s="70"/>
      <c r="T631" s="70"/>
      <c r="U631" s="72"/>
      <c r="V631" s="73"/>
      <c r="W631" s="58"/>
      <c r="X631" s="58"/>
      <c r="Y631" s="58"/>
      <c r="AB631" s="59"/>
      <c r="AC631" s="60"/>
      <c r="AD631" s="61"/>
      <c r="AE631" s="62">
        <v>455</v>
      </c>
      <c r="AF631" s="61">
        <v>45.5</v>
      </c>
      <c r="AG631" s="61"/>
      <c r="AH631" s="75"/>
      <c r="AI631" s="76"/>
      <c r="AJ631" s="92" t="s">
        <v>47</v>
      </c>
      <c r="AK631" s="93" t="s">
        <v>48</v>
      </c>
      <c r="AL631" s="93" t="s">
        <v>65</v>
      </c>
      <c r="AO631" s="59">
        <v>486</v>
      </c>
      <c r="AP631" s="68"/>
      <c r="AQ631" s="61"/>
      <c r="AR631" s="62">
        <v>465</v>
      </c>
      <c r="AS631" s="61">
        <v>46.5</v>
      </c>
      <c r="AT631" s="61">
        <v>28</v>
      </c>
      <c r="AU631" s="63" t="s">
        <v>243</v>
      </c>
      <c r="AV631" s="64"/>
      <c r="AW631" s="65" t="s">
        <v>21</v>
      </c>
      <c r="AX631" s="66"/>
      <c r="AY631" s="67">
        <f>AT649</f>
        <v>58</v>
      </c>
      <c r="BB631" s="59">
        <v>4097</v>
      </c>
      <c r="BC631" s="68">
        <v>202</v>
      </c>
      <c r="BD631" s="61">
        <v>46</v>
      </c>
      <c r="BE631" s="62"/>
      <c r="BF631" s="61"/>
      <c r="BG631" s="61">
        <v>25</v>
      </c>
      <c r="BH631" s="63" t="s">
        <v>29</v>
      </c>
      <c r="BI631" s="64"/>
      <c r="BJ631" s="65" t="s">
        <v>21</v>
      </c>
      <c r="BK631" s="66"/>
      <c r="BL631" s="67">
        <f>BG653</f>
        <v>6746</v>
      </c>
    </row>
    <row r="632" ht="18" customHeight="1" spans="2:64">
      <c r="B632" s="59"/>
      <c r="C632" s="60"/>
      <c r="D632" s="61"/>
      <c r="E632" s="62"/>
      <c r="F632" s="61"/>
      <c r="G632" s="61"/>
      <c r="H632" s="75"/>
      <c r="I632" s="76"/>
      <c r="O632" s="59"/>
      <c r="P632" s="60">
        <v>220</v>
      </c>
      <c r="Q632" s="61">
        <v>40</v>
      </c>
      <c r="R632" s="62"/>
      <c r="S632" s="61"/>
      <c r="T632" s="61"/>
      <c r="U632" s="75"/>
      <c r="V632" s="76"/>
      <c r="W632" s="58"/>
      <c r="X632" s="58"/>
      <c r="Y632" s="58"/>
      <c r="AB632" s="69"/>
      <c r="AC632" s="70"/>
      <c r="AD632" s="71"/>
      <c r="AE632" s="70"/>
      <c r="AF632" s="70"/>
      <c r="AG632" s="70"/>
      <c r="AH632" s="72"/>
      <c r="AI632" s="73"/>
      <c r="AJ632" s="94" t="s">
        <v>52</v>
      </c>
      <c r="AK632" s="95" t="s">
        <v>27</v>
      </c>
      <c r="AL632" s="95" t="s">
        <v>43</v>
      </c>
      <c r="AO632" s="69"/>
      <c r="AP632" s="70">
        <v>108</v>
      </c>
      <c r="AQ632" s="71">
        <v>18</v>
      </c>
      <c r="AR632" s="70"/>
      <c r="AS632" s="70"/>
      <c r="AT632" s="70">
        <v>30</v>
      </c>
      <c r="AU632" s="72" t="s">
        <v>29</v>
      </c>
      <c r="AV632" s="73"/>
      <c r="AW632" s="74" t="s">
        <v>26</v>
      </c>
      <c r="AX632" s="57"/>
      <c r="AY632" s="49">
        <f>AO649+AY629+AY630-AY631-AR649-AS649</f>
        <v>2372</v>
      </c>
      <c r="BB632" s="69"/>
      <c r="BC632" s="70"/>
      <c r="BD632" s="71">
        <v>40</v>
      </c>
      <c r="BE632" s="70">
        <v>535</v>
      </c>
      <c r="BF632" s="70"/>
      <c r="BG632" s="70">
        <v>2155</v>
      </c>
      <c r="BH632" s="72" t="s">
        <v>43</v>
      </c>
      <c r="BI632" s="73"/>
      <c r="BJ632" s="74" t="s">
        <v>26</v>
      </c>
      <c r="BK632" s="57"/>
      <c r="BL632" s="49">
        <f>BB653+BL629+BL630-BL631-BE653-BF653</f>
        <v>1400</v>
      </c>
    </row>
    <row r="633" spans="2:64">
      <c r="B633" s="69"/>
      <c r="C633" s="112"/>
      <c r="D633" s="71"/>
      <c r="E633" s="58"/>
      <c r="F633" s="70"/>
      <c r="G633" s="70"/>
      <c r="H633" s="72"/>
      <c r="I633" s="73"/>
      <c r="O633" s="69"/>
      <c r="P633" s="71"/>
      <c r="Q633" s="71"/>
      <c r="R633" s="70">
        <v>176</v>
      </c>
      <c r="S633" s="70"/>
      <c r="T633" s="70"/>
      <c r="U633" s="72"/>
      <c r="V633" s="73"/>
      <c r="W633" s="58"/>
      <c r="X633" s="58"/>
      <c r="Y633" s="58"/>
      <c r="AB633" s="59"/>
      <c r="AC633" s="60"/>
      <c r="AD633" s="61"/>
      <c r="AE633" s="62"/>
      <c r="AF633" s="61"/>
      <c r="AG633" s="61"/>
      <c r="AH633" s="75"/>
      <c r="AI633" s="76"/>
      <c r="AJ633" s="77"/>
      <c r="AK633" s="77"/>
      <c r="AL633" s="87"/>
      <c r="AO633" s="59"/>
      <c r="AP633" s="60"/>
      <c r="AQ633" s="61"/>
      <c r="AR633" s="62">
        <v>152</v>
      </c>
      <c r="AS633" s="61">
        <v>15.2</v>
      </c>
      <c r="AT633" s="61"/>
      <c r="AU633" s="75"/>
      <c r="AV633" s="76"/>
      <c r="AW633" s="77"/>
      <c r="AX633" s="78" t="s">
        <v>30</v>
      </c>
      <c r="AY633" s="79">
        <f>AY630/4</f>
        <v>72.075</v>
      </c>
      <c r="BB633" s="59"/>
      <c r="BC633" s="60"/>
      <c r="BD633" s="61"/>
      <c r="BE633" s="62">
        <v>1285</v>
      </c>
      <c r="BF633" s="61">
        <v>128.5</v>
      </c>
      <c r="BG633" s="61">
        <v>2720</v>
      </c>
      <c r="BH633" s="75" t="s">
        <v>38</v>
      </c>
      <c r="BI633" s="76"/>
      <c r="BJ633" s="77"/>
      <c r="BK633" s="78" t="s">
        <v>30</v>
      </c>
      <c r="BL633" s="79">
        <f>BL630/4</f>
        <v>193.6575</v>
      </c>
    </row>
    <row r="634" spans="2:64">
      <c r="B634" s="59"/>
      <c r="C634" s="60"/>
      <c r="D634" s="61"/>
      <c r="E634" s="62"/>
      <c r="F634" s="61"/>
      <c r="G634" s="61"/>
      <c r="H634" s="75"/>
      <c r="I634" s="76"/>
      <c r="O634" s="59"/>
      <c r="P634" s="61"/>
      <c r="Q634" s="61">
        <v>10</v>
      </c>
      <c r="R634" s="62">
        <v>142</v>
      </c>
      <c r="S634" s="61"/>
      <c r="T634" s="61"/>
      <c r="U634" s="75"/>
      <c r="V634" s="76"/>
      <c r="W634" s="58"/>
      <c r="X634" s="58"/>
      <c r="Y634" s="58"/>
      <c r="AB634" s="69"/>
      <c r="AC634" s="70"/>
      <c r="AD634" s="71"/>
      <c r="AE634" s="70"/>
      <c r="AF634" s="70"/>
      <c r="AG634" s="70"/>
      <c r="AH634" s="72"/>
      <c r="AI634" s="73"/>
      <c r="AJ634" s="58"/>
      <c r="AK634" s="58"/>
      <c r="AL634" s="58"/>
      <c r="AO634" s="69"/>
      <c r="AP634" s="70"/>
      <c r="AQ634" s="71"/>
      <c r="AR634" s="70">
        <v>230</v>
      </c>
      <c r="AS634" s="70">
        <v>25</v>
      </c>
      <c r="AT634" s="70"/>
      <c r="AU634" s="72"/>
      <c r="AV634" s="73"/>
      <c r="AW634" s="77"/>
      <c r="AX634" s="80" t="s">
        <v>34</v>
      </c>
      <c r="AY634" s="81">
        <f>AY630/6</f>
        <v>48.05</v>
      </c>
      <c r="BB634" s="69"/>
      <c r="BC634" s="70"/>
      <c r="BD634" s="71"/>
      <c r="BE634" s="70">
        <v>170</v>
      </c>
      <c r="BF634" s="70">
        <v>34</v>
      </c>
      <c r="BG634" s="70">
        <v>1846</v>
      </c>
      <c r="BH634" s="72" t="s">
        <v>323</v>
      </c>
      <c r="BI634" s="73"/>
      <c r="BJ634" s="77"/>
      <c r="BK634" s="80" t="s">
        <v>34</v>
      </c>
      <c r="BL634" s="81">
        <f>BL630/6</f>
        <v>129.105</v>
      </c>
    </row>
    <row r="635" spans="2:64">
      <c r="B635" s="96"/>
      <c r="C635" s="97"/>
      <c r="D635" s="98"/>
      <c r="E635" s="99"/>
      <c r="F635" s="98"/>
      <c r="G635" s="98"/>
      <c r="H635" s="72"/>
      <c r="I635" s="73"/>
      <c r="O635" s="69"/>
      <c r="P635" s="71"/>
      <c r="Q635" s="71"/>
      <c r="R635" s="70">
        <v>168</v>
      </c>
      <c r="S635" s="70">
        <v>25.2</v>
      </c>
      <c r="T635" s="70"/>
      <c r="U635" s="72"/>
      <c r="V635" s="73"/>
      <c r="W635" s="58"/>
      <c r="X635" s="58"/>
      <c r="Y635" s="58"/>
      <c r="AB635" s="59"/>
      <c r="AC635" s="60"/>
      <c r="AD635" s="61"/>
      <c r="AE635" s="62"/>
      <c r="AF635" s="61"/>
      <c r="AG635" s="61"/>
      <c r="AH635" s="75"/>
      <c r="AI635" s="76"/>
      <c r="AJ635" s="58"/>
      <c r="AK635" s="58"/>
      <c r="AL635" s="58"/>
      <c r="AO635" s="59"/>
      <c r="AP635" s="60">
        <v>155</v>
      </c>
      <c r="AQ635" s="61"/>
      <c r="AR635" s="62"/>
      <c r="AS635" s="61"/>
      <c r="AT635" s="61"/>
      <c r="AU635" s="75"/>
      <c r="AV635" s="84"/>
      <c r="AW635" s="77"/>
      <c r="AX635" s="82" t="s">
        <v>37</v>
      </c>
      <c r="AY635" s="83">
        <f>AY630/8</f>
        <v>36.0375</v>
      </c>
      <c r="BB635" s="59"/>
      <c r="BC635" s="60">
        <v>350</v>
      </c>
      <c r="BD635" s="61">
        <v>50</v>
      </c>
      <c r="BE635" s="62"/>
      <c r="BF635" s="61"/>
      <c r="BG635" s="61"/>
      <c r="BH635" s="75"/>
      <c r="BI635" s="84"/>
      <c r="BJ635" s="77"/>
      <c r="BK635" s="82" t="s">
        <v>37</v>
      </c>
      <c r="BL635" s="83">
        <f>BL630/8</f>
        <v>96.82875</v>
      </c>
    </row>
    <row r="636" spans="2:64">
      <c r="B636" s="59"/>
      <c r="C636" s="60"/>
      <c r="D636" s="61"/>
      <c r="E636" s="62"/>
      <c r="F636" s="61"/>
      <c r="G636" s="61"/>
      <c r="H636" s="75"/>
      <c r="I636" s="76"/>
      <c r="O636" s="59"/>
      <c r="P636" s="61"/>
      <c r="Q636" s="61"/>
      <c r="R636" s="62">
        <v>613</v>
      </c>
      <c r="S636" s="61">
        <v>61.3</v>
      </c>
      <c r="T636" s="61"/>
      <c r="U636" s="75"/>
      <c r="V636" s="76"/>
      <c r="W636" s="58"/>
      <c r="X636" s="58"/>
      <c r="Y636" s="58"/>
      <c r="AB636" s="69"/>
      <c r="AC636" s="71"/>
      <c r="AD636" s="71"/>
      <c r="AE636" s="70"/>
      <c r="AF636" s="70"/>
      <c r="AG636" s="70"/>
      <c r="AH636" s="72"/>
      <c r="AI636" s="73"/>
      <c r="AJ636" s="58"/>
      <c r="AK636" s="58"/>
      <c r="AL636" s="58"/>
      <c r="AO636" s="69"/>
      <c r="AP636" s="70">
        <v>393</v>
      </c>
      <c r="AQ636" s="85">
        <v>50</v>
      </c>
      <c r="AR636" s="70"/>
      <c r="AS636" s="70"/>
      <c r="AT636" s="70"/>
      <c r="AU636" s="72"/>
      <c r="AV636" s="73"/>
      <c r="AW636" s="86"/>
      <c r="AX636" s="77"/>
      <c r="AY636" s="87"/>
      <c r="BB636" s="69"/>
      <c r="BC636" s="70">
        <v>235</v>
      </c>
      <c r="BD636" s="85"/>
      <c r="BE636" s="70"/>
      <c r="BF636" s="70"/>
      <c r="BG636" s="70"/>
      <c r="BH636" s="72"/>
      <c r="BI636" s="73"/>
      <c r="BJ636" s="86"/>
      <c r="BK636" s="77"/>
      <c r="BL636" s="87"/>
    </row>
    <row r="637" spans="2:64">
      <c r="B637" s="59"/>
      <c r="C637" s="60"/>
      <c r="D637" s="61"/>
      <c r="E637" s="62"/>
      <c r="F637" s="61"/>
      <c r="G637" s="61"/>
      <c r="H637" s="75"/>
      <c r="I637" s="76"/>
      <c r="O637" s="69"/>
      <c r="P637" s="71"/>
      <c r="Q637" s="71"/>
      <c r="R637" s="70"/>
      <c r="S637" s="70"/>
      <c r="T637" s="70"/>
      <c r="U637" s="72"/>
      <c r="V637" s="73"/>
      <c r="W637" s="58"/>
      <c r="AB637" s="59"/>
      <c r="AC637" s="60"/>
      <c r="AD637" s="61"/>
      <c r="AE637" s="62"/>
      <c r="AF637" s="61"/>
      <c r="AG637" s="61"/>
      <c r="AH637" s="75"/>
      <c r="AI637" s="76"/>
      <c r="AO637" s="59"/>
      <c r="AP637" s="60">
        <v>462</v>
      </c>
      <c r="AQ637" s="61">
        <v>38</v>
      </c>
      <c r="AR637" s="62"/>
      <c r="AS637" s="61"/>
      <c r="AT637" s="61"/>
      <c r="AU637" s="75"/>
      <c r="AV637" s="84"/>
      <c r="AW637" s="77"/>
      <c r="AX637" s="58"/>
      <c r="AY637" s="58"/>
      <c r="BB637" s="59"/>
      <c r="BC637" s="60"/>
      <c r="BD637" s="61"/>
      <c r="BE637" s="62">
        <v>623</v>
      </c>
      <c r="BF637" s="61">
        <v>62.3</v>
      </c>
      <c r="BG637" s="61"/>
      <c r="BH637" s="75"/>
      <c r="BI637" s="84"/>
      <c r="BJ637" s="77"/>
      <c r="BK637" s="58"/>
      <c r="BL637" s="58"/>
    </row>
    <row r="638" ht="15.75" spans="2:64">
      <c r="B638" s="69"/>
      <c r="C638" s="112"/>
      <c r="D638" s="71"/>
      <c r="E638" s="58"/>
      <c r="F638" s="70"/>
      <c r="G638" s="70"/>
      <c r="H638" s="72"/>
      <c r="I638" s="73"/>
      <c r="O638" s="59"/>
      <c r="P638" s="61"/>
      <c r="Q638" s="61"/>
      <c r="R638" s="62"/>
      <c r="S638" s="61"/>
      <c r="T638" s="61"/>
      <c r="U638" s="75"/>
      <c r="V638" s="76"/>
      <c r="W638" s="58"/>
      <c r="AB638" s="96"/>
      <c r="AC638" s="97"/>
      <c r="AD638" s="98"/>
      <c r="AE638" s="99"/>
      <c r="AF638" s="98"/>
      <c r="AG638" s="98"/>
      <c r="AH638" s="72"/>
      <c r="AI638" s="73"/>
      <c r="AO638" s="69"/>
      <c r="AP638" s="70">
        <v>647</v>
      </c>
      <c r="AQ638" s="85">
        <v>73</v>
      </c>
      <c r="AR638" s="70"/>
      <c r="AS638" s="70"/>
      <c r="AT638" s="70"/>
      <c r="AU638" s="72"/>
      <c r="AV638" s="73"/>
      <c r="AW638" s="77"/>
      <c r="AX638" s="58"/>
      <c r="AY638" s="58"/>
      <c r="BB638" s="69"/>
      <c r="BC638" s="70">
        <v>1416</v>
      </c>
      <c r="BD638" s="85">
        <v>104</v>
      </c>
      <c r="BE638" s="70"/>
      <c r="BF638" s="70"/>
      <c r="BG638" s="70"/>
      <c r="BH638" s="72"/>
      <c r="BI638" s="73"/>
      <c r="BJ638" s="77"/>
      <c r="BK638" s="58"/>
      <c r="BL638" s="58"/>
    </row>
    <row r="639" ht="15.75" spans="2:64">
      <c r="B639" s="102">
        <f t="shared" ref="B639:G639" si="110">SUM(B612:B638)</f>
        <v>1900</v>
      </c>
      <c r="C639" s="103">
        <f t="shared" si="110"/>
        <v>2710</v>
      </c>
      <c r="D639" s="104">
        <f t="shared" si="110"/>
        <v>206</v>
      </c>
      <c r="E639" s="105">
        <f t="shared" si="110"/>
        <v>2579.6</v>
      </c>
      <c r="F639" s="106">
        <f t="shared" si="110"/>
        <v>168.1</v>
      </c>
      <c r="G639" s="107">
        <f t="shared" si="110"/>
        <v>1963</v>
      </c>
      <c r="H639" s="108" t="s">
        <v>54</v>
      </c>
      <c r="I639" s="109"/>
      <c r="O639" s="96"/>
      <c r="P639" s="97"/>
      <c r="Q639" s="98"/>
      <c r="R639" s="99"/>
      <c r="S639" s="98"/>
      <c r="T639" s="98"/>
      <c r="U639" s="100"/>
      <c r="V639" s="101"/>
      <c r="AB639" s="59"/>
      <c r="AC639" s="60"/>
      <c r="AD639" s="61"/>
      <c r="AE639" s="62"/>
      <c r="AF639" s="61"/>
      <c r="AG639" s="61"/>
      <c r="AH639" s="75"/>
      <c r="AI639" s="76"/>
      <c r="AO639" s="59"/>
      <c r="AP639" s="60"/>
      <c r="AQ639" s="61"/>
      <c r="AR639" s="62">
        <v>226</v>
      </c>
      <c r="AS639" s="61">
        <v>22.6</v>
      </c>
      <c r="AT639" s="61"/>
      <c r="AU639" s="75"/>
      <c r="AV639" s="84"/>
      <c r="AW639" s="77"/>
      <c r="AX639" s="58"/>
      <c r="AY639" s="58"/>
      <c r="BB639" s="59"/>
      <c r="BC639" s="60">
        <v>205</v>
      </c>
      <c r="BD639" s="61"/>
      <c r="BE639" s="62"/>
      <c r="BF639" s="61"/>
      <c r="BG639" s="61"/>
      <c r="BH639" s="75"/>
      <c r="BI639" s="84"/>
      <c r="BJ639" s="77"/>
      <c r="BK639" s="58"/>
      <c r="BL639" s="58"/>
    </row>
    <row r="640" ht="15.75" spans="2:64">
      <c r="O640" s="102">
        <f t="shared" ref="O640:T640" si="111">SUM(O616:O639)</f>
        <v>2387</v>
      </c>
      <c r="P640" s="103">
        <f t="shared" si="111"/>
        <v>3222</v>
      </c>
      <c r="Q640" s="104">
        <f t="shared" si="111"/>
        <v>372</v>
      </c>
      <c r="R640" s="105">
        <f t="shared" si="111"/>
        <v>2437</v>
      </c>
      <c r="S640" s="106">
        <f t="shared" si="111"/>
        <v>229.65</v>
      </c>
      <c r="T640" s="107">
        <f t="shared" si="111"/>
        <v>2358.82</v>
      </c>
      <c r="U640" s="108" t="s">
        <v>54</v>
      </c>
      <c r="V640" s="109"/>
      <c r="AB640" s="96"/>
      <c r="AC640" s="97"/>
      <c r="AD640" s="98"/>
      <c r="AE640" s="99"/>
      <c r="AF640" s="98"/>
      <c r="AG640" s="98"/>
      <c r="AH640" s="72"/>
      <c r="AI640" s="73"/>
      <c r="AO640" s="69"/>
      <c r="AP640" s="70"/>
      <c r="AQ640" s="85"/>
      <c r="AR640" s="70"/>
      <c r="AS640" s="70"/>
      <c r="AT640" s="70"/>
      <c r="AU640" s="72"/>
      <c r="AV640" s="73"/>
      <c r="AW640" s="89" t="s">
        <v>44</v>
      </c>
      <c r="AX640" s="90" t="s">
        <v>45</v>
      </c>
      <c r="AY640" s="90" t="s">
        <v>46</v>
      </c>
      <c r="BB640" s="69"/>
      <c r="BC640" s="70"/>
      <c r="BD640" s="85"/>
      <c r="BE640" s="70">
        <v>353</v>
      </c>
      <c r="BF640" s="70">
        <v>52.93</v>
      </c>
      <c r="BG640" s="70"/>
      <c r="BH640" s="72"/>
      <c r="BI640" s="73"/>
      <c r="BJ640" s="89" t="s">
        <v>44</v>
      </c>
      <c r="BK640" s="90" t="s">
        <v>45</v>
      </c>
      <c r="BL640" s="90" t="s">
        <v>46</v>
      </c>
    </row>
    <row r="641" ht="15.75" spans="2:64">
      <c r="AB641" s="59"/>
      <c r="AC641" s="60"/>
      <c r="AD641" s="61"/>
      <c r="AE641" s="62"/>
      <c r="AF641" s="61"/>
      <c r="AG641" s="61"/>
      <c r="AH641" s="75"/>
      <c r="AI641" s="76"/>
      <c r="AO641" s="59"/>
      <c r="AP641" s="60"/>
      <c r="AQ641" s="61"/>
      <c r="AR641" s="62"/>
      <c r="AS641" s="61"/>
      <c r="AT641" s="61"/>
      <c r="AU641" s="75"/>
      <c r="AV641" s="84"/>
      <c r="AW641" s="92" t="s">
        <v>47</v>
      </c>
      <c r="AX641" s="93" t="s">
        <v>48</v>
      </c>
      <c r="AY641" s="93" t="s">
        <v>65</v>
      </c>
      <c r="BB641" s="59"/>
      <c r="BC641" s="60"/>
      <c r="BD641" s="61"/>
      <c r="BE641" s="62">
        <v>918</v>
      </c>
      <c r="BF641" s="61">
        <v>91.1</v>
      </c>
      <c r="BG641" s="61"/>
      <c r="BH641" s="75"/>
      <c r="BI641" s="84"/>
      <c r="BJ641" s="92" t="s">
        <v>47</v>
      </c>
      <c r="BK641" s="93" t="s">
        <v>27</v>
      </c>
      <c r="BL641" s="93" t="s">
        <v>43</v>
      </c>
    </row>
    <row r="642" ht="15.75" spans="2:64">
      <c r="B642" s="33" t="s">
        <v>324</v>
      </c>
      <c r="C642" s="34"/>
      <c r="D642" s="34"/>
      <c r="E642" s="34"/>
      <c r="F642" s="34"/>
      <c r="G642" s="34"/>
      <c r="H642" s="34"/>
      <c r="I642" s="34"/>
      <c r="J642" s="34"/>
      <c r="K642" s="34"/>
      <c r="L642" s="35"/>
      <c r="AB642" s="96"/>
      <c r="AC642" s="97"/>
      <c r="AD642" s="98"/>
      <c r="AE642" s="99"/>
      <c r="AF642" s="98"/>
      <c r="AG642" s="98"/>
      <c r="AH642" s="72"/>
      <c r="AI642" s="73"/>
      <c r="AO642" s="69"/>
      <c r="AP642" s="70"/>
      <c r="AQ642" s="85"/>
      <c r="AR642" s="70"/>
      <c r="AS642" s="70"/>
      <c r="AT642" s="70"/>
      <c r="AU642" s="72"/>
      <c r="AV642" s="73"/>
      <c r="AW642" s="94" t="s">
        <v>52</v>
      </c>
      <c r="AX642" s="95" t="s">
        <v>27</v>
      </c>
      <c r="AY642" s="95" t="s">
        <v>65</v>
      </c>
      <c r="BB642" s="69"/>
      <c r="BC642" s="70">
        <v>256</v>
      </c>
      <c r="BD642" s="85">
        <v>20</v>
      </c>
      <c r="BE642" s="70"/>
      <c r="BF642" s="70"/>
      <c r="BG642" s="70"/>
      <c r="BH642" s="72"/>
      <c r="BI642" s="73"/>
      <c r="BJ642" s="94" t="s">
        <v>52</v>
      </c>
      <c r="BK642" s="95" t="s">
        <v>48</v>
      </c>
      <c r="BL642" s="95" t="s">
        <v>65</v>
      </c>
    </row>
    <row r="643" ht="15.75" spans="2:64">
      <c r="B643" s="36"/>
      <c r="C643" s="37"/>
      <c r="D643" s="37"/>
      <c r="E643" s="37"/>
      <c r="F643" s="37"/>
      <c r="G643" s="37"/>
      <c r="H643" s="37"/>
      <c r="I643" s="37"/>
      <c r="J643" s="37"/>
      <c r="K643" s="37"/>
      <c r="L643" s="38"/>
      <c r="O643" s="33" t="s">
        <v>325</v>
      </c>
      <c r="P643" s="34"/>
      <c r="Q643" s="34"/>
      <c r="R643" s="34"/>
      <c r="S643" s="34"/>
      <c r="T643" s="34"/>
      <c r="U643" s="34"/>
      <c r="V643" s="34"/>
      <c r="W643" s="34"/>
      <c r="X643" s="34"/>
      <c r="Y643" s="35"/>
      <c r="AB643" s="59"/>
      <c r="AC643" s="60"/>
      <c r="AD643" s="61"/>
      <c r="AE643" s="62"/>
      <c r="AF643" s="61"/>
      <c r="AG643" s="61"/>
      <c r="AH643" s="75"/>
      <c r="AI643" s="76"/>
      <c r="AO643" s="59"/>
      <c r="AP643" s="60"/>
      <c r="AQ643" s="61"/>
      <c r="AR643" s="62"/>
      <c r="AS643" s="61"/>
      <c r="AT643" s="61"/>
      <c r="AU643" s="75"/>
      <c r="AV643" s="84"/>
      <c r="AW643" s="77"/>
      <c r="AX643" s="77"/>
      <c r="AY643" s="87"/>
      <c r="BB643" s="59"/>
      <c r="BC643" s="60">
        <v>455</v>
      </c>
      <c r="BD643" s="61">
        <v>20</v>
      </c>
      <c r="BE643" s="62"/>
      <c r="BF643" s="61"/>
      <c r="BG643" s="61"/>
      <c r="BH643" s="75"/>
      <c r="BI643" s="84"/>
      <c r="BJ643" s="77"/>
      <c r="BK643" s="77"/>
      <c r="BL643" s="87"/>
    </row>
    <row r="644" ht="15.75" spans="2:64">
      <c r="B644" s="39" t="s">
        <v>12</v>
      </c>
      <c r="C644" s="40" t="s">
        <v>13</v>
      </c>
      <c r="D644" s="41"/>
      <c r="E644" s="42" t="s">
        <v>14</v>
      </c>
      <c r="F644" s="43"/>
      <c r="G644" s="44" t="s">
        <v>15</v>
      </c>
      <c r="H644" s="45"/>
      <c r="I644" s="46"/>
      <c r="J644" s="47" t="s">
        <v>16</v>
      </c>
      <c r="K644" s="48"/>
      <c r="L644" s="49">
        <f>C671+E671</f>
        <v>3875</v>
      </c>
      <c r="O644" s="36"/>
      <c r="P644" s="37"/>
      <c r="Q644" s="37"/>
      <c r="R644" s="37"/>
      <c r="S644" s="37"/>
      <c r="T644" s="37"/>
      <c r="U644" s="37"/>
      <c r="V644" s="37"/>
      <c r="W644" s="37"/>
      <c r="X644" s="37"/>
      <c r="Y644" s="38"/>
      <c r="AB644" s="96"/>
      <c r="AC644" s="97"/>
      <c r="AD644" s="98"/>
      <c r="AE644" s="99"/>
      <c r="AF644" s="98"/>
      <c r="AG644" s="98"/>
      <c r="AH644" s="72"/>
      <c r="AI644" s="73"/>
      <c r="AO644" s="96"/>
      <c r="AP644" s="97"/>
      <c r="AQ644" s="98"/>
      <c r="AR644" s="99"/>
      <c r="AS644" s="98"/>
      <c r="AT644" s="98"/>
      <c r="AU644" s="72"/>
      <c r="AV644" s="73"/>
      <c r="BB644" s="69"/>
      <c r="BC644" s="70">
        <v>621</v>
      </c>
      <c r="BD644" s="85">
        <v>29</v>
      </c>
      <c r="BE644" s="70"/>
      <c r="BF644" s="70"/>
      <c r="BG644" s="70"/>
      <c r="BH644" s="72"/>
      <c r="BI644" s="73"/>
      <c r="BJ644" s="58"/>
      <c r="BK644" s="58"/>
      <c r="BL644" s="58"/>
    </row>
    <row r="645" ht="15.75" spans="2:64">
      <c r="B645" s="50"/>
      <c r="C645" s="51" t="s">
        <v>17</v>
      </c>
      <c r="D645" s="51" t="s">
        <v>18</v>
      </c>
      <c r="E645" s="52" t="s">
        <v>17</v>
      </c>
      <c r="F645" s="52" t="s">
        <v>18</v>
      </c>
      <c r="G645" s="53"/>
      <c r="H645" s="54"/>
      <c r="I645" s="55"/>
      <c r="J645" s="56" t="s">
        <v>19</v>
      </c>
      <c r="K645" s="57"/>
      <c r="L645" s="49">
        <f>D671+F671</f>
        <v>272</v>
      </c>
      <c r="O645" s="39" t="s">
        <v>12</v>
      </c>
      <c r="P645" s="40" t="s">
        <v>13</v>
      </c>
      <c r="Q645" s="41"/>
      <c r="R645" s="42" t="s">
        <v>14</v>
      </c>
      <c r="S645" s="43"/>
      <c r="T645" s="44" t="s">
        <v>15</v>
      </c>
      <c r="U645" s="45"/>
      <c r="V645" s="46"/>
      <c r="W645" s="47" t="s">
        <v>16</v>
      </c>
      <c r="X645" s="48"/>
      <c r="Y645" s="49">
        <f>P683+R683</f>
        <v>9310</v>
      </c>
      <c r="AB645" s="102">
        <f t="shared" ref="AB645:AG645" si="112">SUM(AB619:AB644)</f>
        <v>3279</v>
      </c>
      <c r="AC645" s="103">
        <f t="shared" si="112"/>
        <v>1445</v>
      </c>
      <c r="AD645" s="104">
        <f t="shared" si="112"/>
        <v>130</v>
      </c>
      <c r="AE645" s="105">
        <f t="shared" si="112"/>
        <v>3084</v>
      </c>
      <c r="AF645" s="106">
        <f t="shared" si="112"/>
        <v>210.5</v>
      </c>
      <c r="AG645" s="107">
        <f t="shared" si="112"/>
        <v>3701</v>
      </c>
      <c r="AH645" s="108" t="s">
        <v>54</v>
      </c>
      <c r="AI645" s="109"/>
      <c r="AO645" s="59"/>
      <c r="AP645" s="60"/>
      <c r="AQ645" s="61"/>
      <c r="AR645" s="62"/>
      <c r="AS645" s="61"/>
      <c r="AT645" s="61"/>
      <c r="AU645" s="75"/>
      <c r="AV645" s="76"/>
      <c r="BB645" s="59"/>
      <c r="BC645" s="60"/>
      <c r="BD645" s="61"/>
      <c r="BE645" s="62">
        <v>440</v>
      </c>
      <c r="BF645" s="61">
        <v>44</v>
      </c>
      <c r="BG645" s="61"/>
      <c r="BH645" s="75"/>
      <c r="BI645" s="76"/>
    </row>
    <row r="646" ht="15.75" spans="2:64">
      <c r="B646" s="59">
        <v>509</v>
      </c>
      <c r="C646" s="60">
        <v>230</v>
      </c>
      <c r="D646" s="61">
        <v>30</v>
      </c>
      <c r="E646" s="62"/>
      <c r="F646" s="61"/>
      <c r="G646" s="61">
        <v>47</v>
      </c>
      <c r="H646" s="63" t="s">
        <v>326</v>
      </c>
      <c r="I646" s="64"/>
      <c r="J646" s="65" t="s">
        <v>21</v>
      </c>
      <c r="K646" s="66"/>
      <c r="L646" s="67">
        <f>G671</f>
        <v>77</v>
      </c>
      <c r="O646" s="50"/>
      <c r="P646" s="51" t="s">
        <v>17</v>
      </c>
      <c r="Q646" s="51" t="s">
        <v>18</v>
      </c>
      <c r="R646" s="52" t="s">
        <v>17</v>
      </c>
      <c r="S646" s="52" t="s">
        <v>18</v>
      </c>
      <c r="T646" s="53"/>
      <c r="U646" s="54"/>
      <c r="V646" s="55"/>
      <c r="W646" s="56" t="s">
        <v>19</v>
      </c>
      <c r="X646" s="57"/>
      <c r="Y646" s="49">
        <f>Q683+S683</f>
        <v>904.05</v>
      </c>
      <c r="AO646" s="96"/>
      <c r="AP646" s="97"/>
      <c r="AQ646" s="98"/>
      <c r="AR646" s="99"/>
      <c r="AS646" s="98"/>
      <c r="AT646" s="98"/>
      <c r="AU646" s="72"/>
      <c r="AV646" s="73"/>
      <c r="BB646" s="96"/>
      <c r="BC646" s="97"/>
      <c r="BD646" s="98"/>
      <c r="BE646" s="99">
        <v>528</v>
      </c>
      <c r="BF646" s="98">
        <v>52.8</v>
      </c>
      <c r="BG646" s="98"/>
      <c r="BH646" s="72"/>
      <c r="BI646" s="73"/>
    </row>
    <row r="647" ht="20" customHeight="1" spans="2:64">
      <c r="B647" s="69"/>
      <c r="C647" s="70">
        <v>611</v>
      </c>
      <c r="D647" s="71">
        <v>59</v>
      </c>
      <c r="E647" s="70"/>
      <c r="F647" s="70"/>
      <c r="G647" s="70">
        <v>30</v>
      </c>
      <c r="H647" s="72" t="s">
        <v>29</v>
      </c>
      <c r="I647" s="73"/>
      <c r="J647" s="74" t="s">
        <v>26</v>
      </c>
      <c r="K647" s="57"/>
      <c r="L647" s="49">
        <f>B671+L644+L645-L646-E671-F671</f>
        <v>3002.5</v>
      </c>
      <c r="O647" s="59">
        <v>620</v>
      </c>
      <c r="Q647" s="61"/>
      <c r="R647" s="60">
        <v>307</v>
      </c>
      <c r="S647" s="61"/>
      <c r="T647" s="61">
        <v>102</v>
      </c>
      <c r="U647" s="63" t="s">
        <v>28</v>
      </c>
      <c r="V647" s="64"/>
      <c r="W647" s="65" t="s">
        <v>21</v>
      </c>
      <c r="X647" s="66"/>
      <c r="Y647" s="67">
        <f>T683</f>
        <v>387</v>
      </c>
      <c r="AO647" s="59"/>
      <c r="AP647" s="60"/>
      <c r="AQ647" s="61"/>
      <c r="AR647" s="62"/>
      <c r="AS647" s="61"/>
      <c r="AT647" s="61"/>
      <c r="AU647" s="75"/>
      <c r="AV647" s="76"/>
      <c r="BB647" s="59"/>
      <c r="BC647" s="60"/>
      <c r="BD647" s="61"/>
      <c r="BE647" s="62"/>
      <c r="BF647" s="61"/>
      <c r="BG647" s="61"/>
      <c r="BH647" s="75"/>
      <c r="BI647" s="76"/>
    </row>
    <row r="648" ht="15.75" spans="2:64">
      <c r="B648" s="59"/>
      <c r="C648" s="60">
        <v>113</v>
      </c>
      <c r="D648" s="61"/>
      <c r="E648" s="62"/>
      <c r="F648" s="61"/>
      <c r="G648" s="61"/>
      <c r="H648" s="75"/>
      <c r="I648" s="76"/>
      <c r="J648" s="77"/>
      <c r="K648" s="78" t="s">
        <v>30</v>
      </c>
      <c r="L648" s="79">
        <f>L645/4</f>
        <v>68</v>
      </c>
      <c r="O648" s="69"/>
      <c r="P648" s="70">
        <v>157</v>
      </c>
      <c r="Q648" s="71"/>
      <c r="R648" s="70"/>
      <c r="S648" s="71"/>
      <c r="T648" s="70">
        <v>30</v>
      </c>
      <c r="U648" s="72" t="s">
        <v>29</v>
      </c>
      <c r="V648" s="73"/>
      <c r="W648" s="74" t="s">
        <v>26</v>
      </c>
      <c r="X648" s="57"/>
      <c r="Y648" s="49">
        <f>O683+Y645+Y646-Y647-R683-S683</f>
        <v>3970</v>
      </c>
      <c r="AO648" s="96"/>
      <c r="AP648" s="97"/>
      <c r="AQ648" s="98"/>
      <c r="AR648" s="99"/>
      <c r="AS648" s="98"/>
      <c r="AT648" s="98"/>
      <c r="AU648" s="72"/>
      <c r="AV648" s="73"/>
      <c r="BB648" s="96"/>
      <c r="BC648" s="97"/>
      <c r="BD648" s="98"/>
      <c r="BE648" s="99"/>
      <c r="BF648" s="98"/>
      <c r="BG648" s="98"/>
      <c r="BH648" s="72"/>
      <c r="BI648" s="73"/>
    </row>
    <row r="649" ht="15.75" spans="2:64">
      <c r="B649" s="69"/>
      <c r="C649" s="70">
        <v>230</v>
      </c>
      <c r="D649" s="71">
        <v>25</v>
      </c>
      <c r="E649" s="70"/>
      <c r="F649" s="70"/>
      <c r="G649" s="70"/>
      <c r="H649" s="72"/>
      <c r="I649" s="73"/>
      <c r="J649" s="77"/>
      <c r="K649" s="80" t="s">
        <v>34</v>
      </c>
      <c r="L649" s="81">
        <f>L645/6</f>
        <v>45.3333333333333</v>
      </c>
      <c r="O649" s="59"/>
      <c r="P649" s="60">
        <v>272</v>
      </c>
      <c r="Q649" s="60">
        <v>28</v>
      </c>
      <c r="R649" s="60"/>
      <c r="T649" s="61">
        <v>65</v>
      </c>
      <c r="U649" s="75" t="s">
        <v>39</v>
      </c>
      <c r="V649" s="76"/>
      <c r="W649" s="77"/>
      <c r="X649" s="78" t="s">
        <v>30</v>
      </c>
      <c r="Y649" s="79">
        <f>Y646/4</f>
        <v>226.0125</v>
      </c>
      <c r="AB649" s="33" t="s">
        <v>327</v>
      </c>
      <c r="AC649" s="34"/>
      <c r="AD649" s="34"/>
      <c r="AE649" s="34"/>
      <c r="AF649" s="34"/>
      <c r="AG649" s="34"/>
      <c r="AH649" s="34"/>
      <c r="AI649" s="34"/>
      <c r="AJ649" s="34"/>
      <c r="AK649" s="34"/>
      <c r="AL649" s="35"/>
      <c r="AO649" s="102">
        <f t="shared" ref="AO649:AT649" si="113">SUM(AO631:AO648)</f>
        <v>486</v>
      </c>
      <c r="AP649" s="103">
        <f t="shared" si="113"/>
        <v>1765</v>
      </c>
      <c r="AQ649" s="104">
        <f t="shared" si="113"/>
        <v>179</v>
      </c>
      <c r="AR649" s="105">
        <f t="shared" si="113"/>
        <v>1073</v>
      </c>
      <c r="AS649" s="106">
        <f t="shared" si="113"/>
        <v>109.3</v>
      </c>
      <c r="AT649" s="107">
        <f t="shared" si="113"/>
        <v>58</v>
      </c>
      <c r="AU649" s="108" t="s">
        <v>54</v>
      </c>
      <c r="AV649" s="109"/>
      <c r="BB649" s="59"/>
      <c r="BC649" s="60"/>
      <c r="BD649" s="61"/>
      <c r="BE649" s="62"/>
      <c r="BF649" s="61"/>
      <c r="BG649" s="61"/>
      <c r="BH649" s="75"/>
      <c r="BI649" s="76"/>
    </row>
    <row r="650" ht="15.75" spans="2:64">
      <c r="B650" s="59"/>
      <c r="C650" s="60"/>
      <c r="D650" s="61"/>
      <c r="E650" s="62">
        <v>65</v>
      </c>
      <c r="F650" s="61"/>
      <c r="G650" s="61"/>
      <c r="H650" s="75"/>
      <c r="I650" s="76"/>
      <c r="J650" s="77"/>
      <c r="K650" s="82" t="s">
        <v>37</v>
      </c>
      <c r="L650" s="83">
        <f>L645/8</f>
        <v>34</v>
      </c>
      <c r="O650" s="69"/>
      <c r="P650" s="70"/>
      <c r="Q650" s="71"/>
      <c r="R650" s="70">
        <v>603</v>
      </c>
      <c r="S650" s="61">
        <v>90.45</v>
      </c>
      <c r="T650" s="70">
        <v>190</v>
      </c>
      <c r="U650" s="72" t="s">
        <v>39</v>
      </c>
      <c r="V650" s="73"/>
      <c r="W650" s="77"/>
      <c r="X650" s="80" t="s">
        <v>34</v>
      </c>
      <c r="Y650" s="81">
        <f>Y646/6</f>
        <v>150.675</v>
      </c>
      <c r="AB650" s="36"/>
      <c r="AC650" s="37"/>
      <c r="AD650" s="37"/>
      <c r="AE650" s="37"/>
      <c r="AF650" s="37"/>
      <c r="AG650" s="37"/>
      <c r="AH650" s="37"/>
      <c r="AI650" s="37"/>
      <c r="AJ650" s="37"/>
      <c r="AK650" s="37"/>
      <c r="AL650" s="38"/>
      <c r="BB650" s="59"/>
      <c r="BC650" s="60"/>
      <c r="BD650" s="61"/>
      <c r="BE650" s="62"/>
      <c r="BF650" s="61"/>
      <c r="BG650" s="61"/>
      <c r="BH650" s="75"/>
      <c r="BI650" s="76"/>
    </row>
    <row r="651" ht="15.75" spans="2:64">
      <c r="B651" s="69"/>
      <c r="C651" s="70"/>
      <c r="D651" s="85"/>
      <c r="E651" s="70">
        <v>416</v>
      </c>
      <c r="F651" s="70"/>
      <c r="G651" s="70"/>
      <c r="H651" s="72"/>
      <c r="I651" s="73"/>
      <c r="J651" s="86"/>
      <c r="K651" s="77"/>
      <c r="L651" s="87"/>
      <c r="O651" s="59"/>
      <c r="P651">
        <v>264</v>
      </c>
      <c r="Q651" s="61">
        <v>16</v>
      </c>
      <c r="R651" s="62"/>
      <c r="S651" s="70"/>
      <c r="T651" s="61"/>
      <c r="U651" s="75"/>
      <c r="V651" s="76"/>
      <c r="W651" s="77"/>
      <c r="X651" s="82" t="s">
        <v>37</v>
      </c>
      <c r="Y651" s="83">
        <f>Y646/8</f>
        <v>113.00625</v>
      </c>
      <c r="AB651" s="39" t="s">
        <v>12</v>
      </c>
      <c r="AC651" s="40" t="s">
        <v>13</v>
      </c>
      <c r="AD651" s="41"/>
      <c r="AE651" s="42" t="s">
        <v>14</v>
      </c>
      <c r="AF651" s="43"/>
      <c r="AG651" s="44" t="s">
        <v>15</v>
      </c>
      <c r="AH651" s="45"/>
      <c r="AI651" s="46"/>
      <c r="AJ651" s="47" t="s">
        <v>16</v>
      </c>
      <c r="AK651" s="48"/>
      <c r="AL651" s="49">
        <f>AC677+AE677</f>
        <v>4881</v>
      </c>
      <c r="BB651" s="59"/>
      <c r="BC651" s="60"/>
      <c r="BD651" s="61"/>
      <c r="BE651" s="62"/>
      <c r="BF651" s="61"/>
      <c r="BG651" s="61"/>
      <c r="BH651" s="75"/>
      <c r="BI651" s="76"/>
    </row>
    <row r="652" ht="15.75" spans="2:64">
      <c r="B652" s="59"/>
      <c r="C652" s="60">
        <v>471</v>
      </c>
      <c r="D652" s="61">
        <v>16</v>
      </c>
      <c r="E652" s="62"/>
      <c r="F652" s="61"/>
      <c r="G652" s="61"/>
      <c r="H652" s="75"/>
      <c r="I652" s="76"/>
      <c r="J652" s="77"/>
      <c r="K652" s="58"/>
      <c r="L652" s="58"/>
      <c r="O652" s="69"/>
      <c r="P652" s="60"/>
      <c r="Q652" s="85"/>
      <c r="R652" s="70">
        <v>137</v>
      </c>
      <c r="S652" s="70">
        <v>13</v>
      </c>
      <c r="T652" s="70"/>
      <c r="U652" s="72"/>
      <c r="V652" s="73"/>
      <c r="W652" s="86"/>
      <c r="X652" s="77"/>
      <c r="Y652" s="87"/>
      <c r="AB652" s="50"/>
      <c r="AC652" s="51" t="s">
        <v>17</v>
      </c>
      <c r="AD652" s="51" t="s">
        <v>18</v>
      </c>
      <c r="AE652" s="52" t="s">
        <v>17</v>
      </c>
      <c r="AF652" s="52" t="s">
        <v>18</v>
      </c>
      <c r="AG652" s="53"/>
      <c r="AH652" s="54"/>
      <c r="AI652" s="55"/>
      <c r="AJ652" s="56" t="s">
        <v>19</v>
      </c>
      <c r="AK652" s="57"/>
      <c r="AL652" s="49">
        <f>AD677+AF677</f>
        <v>420.3</v>
      </c>
      <c r="AO652" s="33" t="s">
        <v>328</v>
      </c>
      <c r="AP652" s="34"/>
      <c r="AQ652" s="34"/>
      <c r="AR652" s="34"/>
      <c r="AS652" s="34"/>
      <c r="AT652" s="34"/>
      <c r="AU652" s="34"/>
      <c r="AV652" s="34"/>
      <c r="AW652" s="34"/>
      <c r="AX652" s="34"/>
      <c r="AY652" s="35"/>
      <c r="BB652" s="96"/>
      <c r="BC652" s="97"/>
      <c r="BD652" s="98"/>
      <c r="BE652" s="99"/>
      <c r="BF652" s="98"/>
      <c r="BG652" s="98"/>
      <c r="BH652" s="72"/>
      <c r="BI652" s="73"/>
    </row>
    <row r="653" ht="15.75" spans="2:64">
      <c r="B653" s="69"/>
      <c r="C653" s="70"/>
      <c r="D653" s="71"/>
      <c r="E653" s="70">
        <v>317</v>
      </c>
      <c r="F653" s="70"/>
      <c r="G653" s="70"/>
      <c r="H653" s="72"/>
      <c r="I653" s="73"/>
      <c r="J653" s="77"/>
      <c r="K653" s="58"/>
      <c r="L653" s="58"/>
      <c r="O653" s="59"/>
      <c r="P653" s="60"/>
      <c r="Q653" s="61"/>
      <c r="R653" s="62">
        <v>598</v>
      </c>
      <c r="S653" s="61">
        <v>59.8</v>
      </c>
      <c r="T653" s="61"/>
      <c r="U653" s="75"/>
      <c r="V653" s="76"/>
      <c r="W653" s="77"/>
      <c r="X653" s="58"/>
      <c r="Y653" s="58"/>
      <c r="AB653" s="59">
        <v>1153</v>
      </c>
      <c r="AC653" s="68">
        <v>220</v>
      </c>
      <c r="AD653" s="61">
        <v>20</v>
      </c>
      <c r="AE653" s="62"/>
      <c r="AF653" s="61"/>
      <c r="AG653" s="61">
        <v>30</v>
      </c>
      <c r="AH653" s="63" t="s">
        <v>201</v>
      </c>
      <c r="AI653" s="64"/>
      <c r="AJ653" s="65" t="s">
        <v>21</v>
      </c>
      <c r="AK653" s="66"/>
      <c r="AL653" s="67">
        <f>AG677</f>
        <v>60</v>
      </c>
      <c r="AO653" s="36"/>
      <c r="AP653" s="37"/>
      <c r="AQ653" s="37"/>
      <c r="AR653" s="37"/>
      <c r="AS653" s="37"/>
      <c r="AT653" s="37"/>
      <c r="AU653" s="37"/>
      <c r="AV653" s="37"/>
      <c r="AW653" s="37"/>
      <c r="AX653" s="37"/>
      <c r="AY653" s="38"/>
      <c r="BB653" s="102">
        <f t="shared" ref="BB653:BG653" si="114">SUM(BB631:BB652)</f>
        <v>4097</v>
      </c>
      <c r="BC653" s="103">
        <f t="shared" si="114"/>
        <v>3740</v>
      </c>
      <c r="BD653" s="104">
        <f t="shared" si="114"/>
        <v>309</v>
      </c>
      <c r="BE653" s="105">
        <f t="shared" si="114"/>
        <v>4852</v>
      </c>
      <c r="BF653" s="106">
        <f t="shared" si="114"/>
        <v>465.63</v>
      </c>
      <c r="BG653" s="107">
        <f t="shared" si="114"/>
        <v>6746</v>
      </c>
      <c r="BH653" s="108" t="s">
        <v>54</v>
      </c>
      <c r="BI653" s="109"/>
    </row>
    <row r="654" ht="15.75" spans="2:64">
      <c r="B654" s="59"/>
      <c r="C654" s="60">
        <v>537</v>
      </c>
      <c r="D654" s="88">
        <v>55</v>
      </c>
      <c r="E654" s="62"/>
      <c r="F654" s="61"/>
      <c r="G654" s="61"/>
      <c r="H654" s="75"/>
      <c r="I654" s="76"/>
      <c r="J654" s="77"/>
      <c r="K654" s="58"/>
      <c r="L654" s="58"/>
      <c r="O654" s="69"/>
      <c r="P654" s="70">
        <v>8</v>
      </c>
      <c r="Q654" s="71"/>
      <c r="R654" s="70"/>
      <c r="S654" s="70"/>
      <c r="T654" s="70"/>
      <c r="U654" s="72"/>
      <c r="V654" s="73"/>
      <c r="W654" s="77"/>
      <c r="X654" s="58"/>
      <c r="Y654" s="58"/>
      <c r="AB654" s="69"/>
      <c r="AC654" s="70"/>
      <c r="AD654" s="71"/>
      <c r="AE654" s="70">
        <v>492</v>
      </c>
      <c r="AF654" s="70">
        <v>49.2</v>
      </c>
      <c r="AG654" s="70">
        <v>30</v>
      </c>
      <c r="AH654" s="72" t="s">
        <v>29</v>
      </c>
      <c r="AI654" s="73"/>
      <c r="AJ654" s="74" t="s">
        <v>26</v>
      </c>
      <c r="AK654" s="57"/>
      <c r="AL654" s="49">
        <f>AB677+AL651+AL652-AL653-AE677-AF677</f>
        <v>3929</v>
      </c>
      <c r="AO654" s="39" t="s">
        <v>12</v>
      </c>
      <c r="AP654" s="40" t="s">
        <v>13</v>
      </c>
      <c r="AQ654" s="41"/>
      <c r="AR654" s="42" t="s">
        <v>14</v>
      </c>
      <c r="AS654" s="43"/>
      <c r="AT654" s="44" t="s">
        <v>15</v>
      </c>
      <c r="AU654" s="45"/>
      <c r="AV654" s="46"/>
      <c r="AW654" s="47" t="s">
        <v>16</v>
      </c>
      <c r="AX654" s="48"/>
      <c r="AY654" s="49">
        <f>AP678+AR678</f>
        <v>2844</v>
      </c>
    </row>
    <row r="655" ht="15.75" spans="2:64">
      <c r="B655" s="69"/>
      <c r="C655" s="70">
        <v>10</v>
      </c>
      <c r="D655" s="71"/>
      <c r="E655" s="70"/>
      <c r="F655" s="70"/>
      <c r="G655" s="70"/>
      <c r="H655" s="72"/>
      <c r="I655" s="73"/>
      <c r="J655" s="89" t="s">
        <v>44</v>
      </c>
      <c r="K655" s="90" t="s">
        <v>45</v>
      </c>
      <c r="L655" s="90" t="s">
        <v>46</v>
      </c>
      <c r="O655" s="59"/>
      <c r="P655" s="60">
        <v>108</v>
      </c>
      <c r="Q655" s="88">
        <v>12</v>
      </c>
      <c r="R655" s="62"/>
      <c r="S655" s="61"/>
      <c r="T655" s="61"/>
      <c r="U655" s="75"/>
      <c r="V655" s="76"/>
      <c r="W655" s="77"/>
      <c r="X655" s="58"/>
      <c r="Y655" s="58"/>
      <c r="AB655" s="59"/>
      <c r="AC655" s="60">
        <v>546</v>
      </c>
      <c r="AD655" s="61">
        <v>74</v>
      </c>
      <c r="AE655" s="62"/>
      <c r="AF655" s="61"/>
      <c r="AG655" s="61"/>
      <c r="AH655" s="75"/>
      <c r="AI655" s="76"/>
      <c r="AJ655" s="77"/>
      <c r="AK655" s="78" t="s">
        <v>30</v>
      </c>
      <c r="AL655" s="79">
        <f>AL652/4</f>
        <v>105.075</v>
      </c>
      <c r="AO655" s="50"/>
      <c r="AP655" s="51" t="s">
        <v>17</v>
      </c>
      <c r="AQ655" s="51" t="s">
        <v>18</v>
      </c>
      <c r="AR655" s="52" t="s">
        <v>17</v>
      </c>
      <c r="AS655" s="52" t="s">
        <v>18</v>
      </c>
      <c r="AT655" s="53"/>
      <c r="AU655" s="54"/>
      <c r="AV655" s="55"/>
      <c r="AW655" s="56" t="s">
        <v>19</v>
      </c>
      <c r="AX655" s="57"/>
      <c r="AY655" s="49">
        <f>AQ678+AS678</f>
        <v>220</v>
      </c>
    </row>
    <row r="656" ht="15.75" spans="2:64">
      <c r="B656" s="59"/>
      <c r="C656" s="60"/>
      <c r="D656" s="61"/>
      <c r="E656" s="62">
        <v>170</v>
      </c>
      <c r="F656" s="61">
        <v>25.5</v>
      </c>
      <c r="G656" s="61"/>
      <c r="H656" s="75"/>
      <c r="I656" s="76"/>
      <c r="J656" s="92" t="s">
        <v>47</v>
      </c>
      <c r="K656" s="93" t="s">
        <v>77</v>
      </c>
      <c r="L656" s="93" t="s">
        <v>65</v>
      </c>
      <c r="O656" s="69"/>
      <c r="P656" s="70"/>
      <c r="Q656" s="71"/>
      <c r="R656" s="70">
        <v>488</v>
      </c>
      <c r="S656" s="70">
        <v>48.8</v>
      </c>
      <c r="T656" s="70"/>
      <c r="U656" s="72"/>
      <c r="V656" s="73"/>
      <c r="W656" s="89" t="s">
        <v>44</v>
      </c>
      <c r="X656" s="90" t="s">
        <v>45</v>
      </c>
      <c r="Y656" s="90" t="s">
        <v>46</v>
      </c>
      <c r="AB656" s="69"/>
      <c r="AC656" s="70"/>
      <c r="AD656" s="71"/>
      <c r="AE656" s="70">
        <v>213</v>
      </c>
      <c r="AF656" s="70">
        <v>21.3</v>
      </c>
      <c r="AG656" s="70"/>
      <c r="AH656" s="72"/>
      <c r="AI656" s="73"/>
      <c r="AJ656" s="77"/>
      <c r="AK656" s="80" t="s">
        <v>34</v>
      </c>
      <c r="AL656" s="81">
        <f>AL652/6</f>
        <v>70.05</v>
      </c>
      <c r="AO656" s="59">
        <v>2373</v>
      </c>
      <c r="AP656" s="68">
        <v>142</v>
      </c>
      <c r="AQ656" s="61">
        <v>20</v>
      </c>
      <c r="AR656" s="62"/>
      <c r="AS656" s="61"/>
      <c r="AT656" s="61">
        <v>20</v>
      </c>
      <c r="AU656" s="63" t="s">
        <v>29</v>
      </c>
      <c r="AV656" s="64"/>
      <c r="AW656" s="65" t="s">
        <v>21</v>
      </c>
      <c r="AX656" s="66"/>
      <c r="AY656" s="67">
        <f>AT678</f>
        <v>2201</v>
      </c>
    </row>
    <row r="657" ht="15.75" spans="2:51">
      <c r="B657" s="69"/>
      <c r="C657" s="70">
        <v>175</v>
      </c>
      <c r="D657" s="71">
        <v>8.5</v>
      </c>
      <c r="E657" s="70">
        <v>137</v>
      </c>
      <c r="F657" s="70">
        <v>13.7</v>
      </c>
      <c r="G657" s="70"/>
      <c r="H657" s="72"/>
      <c r="I657" s="73"/>
      <c r="J657" s="94" t="s">
        <v>52</v>
      </c>
      <c r="K657" s="95" t="s">
        <v>48</v>
      </c>
      <c r="L657" s="95" t="s">
        <v>43</v>
      </c>
      <c r="O657" s="59"/>
      <c r="P657" s="60">
        <v>165</v>
      </c>
      <c r="Q657" s="61">
        <v>20</v>
      </c>
      <c r="R657" s="62"/>
      <c r="S657" s="61"/>
      <c r="T657" s="61"/>
      <c r="U657" s="75"/>
      <c r="V657" s="76"/>
      <c r="W657" s="92" t="s">
        <v>47</v>
      </c>
      <c r="X657" s="93" t="s">
        <v>48</v>
      </c>
      <c r="Y657" s="93" t="s">
        <v>154</v>
      </c>
      <c r="AB657" s="59"/>
      <c r="AC657" s="60"/>
      <c r="AD657" s="61"/>
      <c r="AE657" s="62">
        <v>398</v>
      </c>
      <c r="AF657" s="61"/>
      <c r="AG657" s="61"/>
      <c r="AH657" s="75"/>
      <c r="AI657" s="84"/>
      <c r="AJ657" s="77"/>
      <c r="AK657" s="82" t="s">
        <v>37</v>
      </c>
      <c r="AL657" s="83">
        <f>AL652/8</f>
        <v>52.5375</v>
      </c>
      <c r="AO657" s="69"/>
      <c r="AP657" s="70">
        <v>55</v>
      </c>
      <c r="AQ657" s="71"/>
      <c r="AR657" s="70"/>
      <c r="AS657" s="70"/>
      <c r="AT657" s="70">
        <v>230</v>
      </c>
      <c r="AU657" s="72" t="s">
        <v>59</v>
      </c>
      <c r="AV657" s="73"/>
      <c r="AW657" s="74" t="s">
        <v>26</v>
      </c>
      <c r="AX657" s="57"/>
      <c r="AY657" s="49">
        <f>AO678+AY654+AY655-AY656-AR678-AS678</f>
        <v>1548</v>
      </c>
    </row>
    <row r="658" spans="2:51">
      <c r="B658" s="59"/>
      <c r="C658" s="60"/>
      <c r="D658" s="61"/>
      <c r="E658" s="62">
        <v>393</v>
      </c>
      <c r="F658" s="61">
        <v>39.3</v>
      </c>
      <c r="G658" s="61"/>
      <c r="H658" s="75"/>
      <c r="I658" s="76"/>
      <c r="J658" s="77"/>
      <c r="K658" s="77"/>
      <c r="L658" s="87"/>
      <c r="O658" s="69"/>
      <c r="P658" s="70">
        <v>534</v>
      </c>
      <c r="Q658" s="71">
        <v>16</v>
      </c>
      <c r="R658" s="70"/>
      <c r="S658" s="70"/>
      <c r="T658" s="70"/>
      <c r="U658" s="72"/>
      <c r="V658" s="73"/>
      <c r="W658" s="94" t="s">
        <v>52</v>
      </c>
      <c r="X658" s="95" t="s">
        <v>27</v>
      </c>
      <c r="Y658" s="95" t="s">
        <v>43</v>
      </c>
      <c r="AB658" s="69"/>
      <c r="AC658" s="70"/>
      <c r="AD658" s="85"/>
      <c r="AE658" s="70">
        <v>195</v>
      </c>
      <c r="AF658" s="70"/>
      <c r="AG658" s="70"/>
      <c r="AH658" s="72"/>
      <c r="AI658" s="73"/>
      <c r="AJ658" s="86"/>
      <c r="AK658" s="77"/>
      <c r="AL658" s="87"/>
      <c r="AO658" s="59"/>
      <c r="AP658" s="60">
        <f>57*2</f>
        <v>114</v>
      </c>
      <c r="AQ658" s="61"/>
      <c r="AR658" s="62"/>
      <c r="AS658" s="61"/>
      <c r="AT658" s="61">
        <v>1951</v>
      </c>
      <c r="AU658" s="75" t="s">
        <v>105</v>
      </c>
      <c r="AV658" s="76"/>
      <c r="AW658" s="77"/>
      <c r="AX658" s="78" t="s">
        <v>30</v>
      </c>
      <c r="AY658" s="79">
        <f>AY655/4</f>
        <v>55</v>
      </c>
    </row>
    <row r="659" ht="20" customHeight="1" spans="2:51">
      <c r="B659" s="69"/>
      <c r="C659" s="70"/>
      <c r="D659" s="71"/>
      <c r="E659" s="70"/>
      <c r="F659" s="70"/>
      <c r="G659" s="70"/>
      <c r="H659" s="72"/>
      <c r="I659" s="73"/>
      <c r="J659" s="58"/>
      <c r="K659" s="58"/>
      <c r="L659" s="58"/>
      <c r="O659" s="59"/>
      <c r="P659" s="60">
        <v>743</v>
      </c>
      <c r="Q659" s="61">
        <v>57</v>
      </c>
      <c r="R659" s="62"/>
      <c r="S659" s="61"/>
      <c r="T659" s="61"/>
      <c r="U659" s="75"/>
      <c r="V659" s="76"/>
      <c r="W659" s="77"/>
      <c r="X659" s="77"/>
      <c r="Y659" s="87"/>
      <c r="AB659" s="59"/>
      <c r="AC659" s="60">
        <v>198</v>
      </c>
      <c r="AD659" s="61"/>
      <c r="AE659" s="62"/>
      <c r="AF659" s="61"/>
      <c r="AG659" s="61"/>
      <c r="AH659" s="75"/>
      <c r="AI659" s="76"/>
      <c r="AJ659" s="77"/>
      <c r="AK659" s="58"/>
      <c r="AL659" s="58"/>
      <c r="AO659" s="69"/>
      <c r="AP659" s="70">
        <v>137</v>
      </c>
      <c r="AQ659" s="71"/>
      <c r="AR659" s="70"/>
      <c r="AS659" s="70"/>
      <c r="AT659" s="70"/>
      <c r="AU659" s="72"/>
      <c r="AV659" s="73"/>
      <c r="AW659" s="77"/>
      <c r="AX659" s="80" t="s">
        <v>34</v>
      </c>
      <c r="AY659" s="81">
        <f>AY655/6</f>
        <v>36.6666666666667</v>
      </c>
    </row>
    <row r="660" spans="2:51">
      <c r="B660" s="59"/>
      <c r="C660" s="60"/>
      <c r="D660" s="61"/>
      <c r="E660" s="62"/>
      <c r="F660" s="61"/>
      <c r="G660" s="61"/>
      <c r="H660" s="75"/>
      <c r="I660" s="76"/>
      <c r="J660" s="58"/>
      <c r="K660" s="58"/>
      <c r="L660" s="58"/>
      <c r="O660" s="69"/>
      <c r="P660" s="70">
        <v>15</v>
      </c>
      <c r="Q660" s="71"/>
      <c r="R660" s="70">
        <v>450</v>
      </c>
      <c r="S660" s="70">
        <v>45</v>
      </c>
      <c r="T660" s="70"/>
      <c r="U660" s="72"/>
      <c r="V660" s="73"/>
      <c r="W660" s="58"/>
      <c r="X660" s="58"/>
      <c r="Y660" s="58"/>
      <c r="AB660" s="69"/>
      <c r="AC660" s="70">
        <v>340</v>
      </c>
      <c r="AD660" s="71"/>
      <c r="AE660" s="70"/>
      <c r="AF660" s="70"/>
      <c r="AG660" s="70"/>
      <c r="AH660" s="72"/>
      <c r="AI660" s="73"/>
      <c r="AJ660" s="77"/>
      <c r="AK660" s="58"/>
      <c r="AL660" s="58"/>
      <c r="AO660" s="59"/>
      <c r="AP660" s="60"/>
      <c r="AQ660" s="61">
        <v>50</v>
      </c>
      <c r="AR660" s="62">
        <v>310</v>
      </c>
      <c r="AS660" s="61"/>
      <c r="AT660" s="61"/>
      <c r="AU660" s="75"/>
      <c r="AV660" s="84"/>
      <c r="AW660" s="77"/>
      <c r="AX660" s="82" t="s">
        <v>37</v>
      </c>
      <c r="AY660" s="83">
        <f>AY655/8</f>
        <v>27.5</v>
      </c>
    </row>
    <row r="661" spans="2:51">
      <c r="B661" s="69"/>
      <c r="C661" s="71"/>
      <c r="D661" s="71"/>
      <c r="E661" s="70"/>
      <c r="F661" s="70"/>
      <c r="G661" s="70"/>
      <c r="H661" s="72"/>
      <c r="I661" s="73"/>
      <c r="J661" s="58"/>
      <c r="K661" s="58"/>
      <c r="L661" s="58"/>
      <c r="O661" s="59"/>
      <c r="P661" s="60"/>
      <c r="Q661" s="61"/>
      <c r="R661" s="62">
        <v>248</v>
      </c>
      <c r="S661" s="61">
        <v>24.8</v>
      </c>
      <c r="T661" s="61"/>
      <c r="U661" s="75"/>
      <c r="V661" s="76"/>
      <c r="W661" s="58"/>
      <c r="X661" s="58"/>
      <c r="Y661" s="58"/>
      <c r="AB661" s="59"/>
      <c r="AC661" s="60"/>
      <c r="AD661" s="88"/>
      <c r="AE661" s="62">
        <v>571</v>
      </c>
      <c r="AF661" s="61">
        <v>57.1</v>
      </c>
      <c r="AG661" s="61"/>
      <c r="AH661" s="75"/>
      <c r="AI661" s="76"/>
      <c r="AJ661" s="77"/>
      <c r="AK661" s="58"/>
      <c r="AL661" s="58"/>
      <c r="AO661" s="69"/>
      <c r="AP661" s="70">
        <v>365</v>
      </c>
      <c r="AQ661" s="85">
        <v>43</v>
      </c>
      <c r="AR661" s="70"/>
      <c r="AS661" s="70"/>
      <c r="AT661" s="70"/>
      <c r="AU661" s="72"/>
      <c r="AV661" s="73"/>
      <c r="AW661" s="86"/>
      <c r="AX661" s="77"/>
      <c r="AY661" s="87"/>
    </row>
    <row r="662" spans="2:51">
      <c r="B662" s="59"/>
      <c r="C662" s="61"/>
      <c r="D662" s="61"/>
      <c r="E662" s="62"/>
      <c r="F662" s="61"/>
      <c r="G662" s="61"/>
      <c r="H662" s="75"/>
      <c r="I662" s="76"/>
      <c r="J662" s="58"/>
      <c r="K662" s="58"/>
      <c r="L662" s="58"/>
      <c r="O662" s="69"/>
      <c r="P662" s="71"/>
      <c r="Q662" s="71"/>
      <c r="R662" s="70">
        <v>202</v>
      </c>
      <c r="S662" s="70">
        <v>20.2</v>
      </c>
      <c r="T662" s="70"/>
      <c r="U662" s="72"/>
      <c r="V662" s="73"/>
      <c r="W662" s="58"/>
      <c r="X662" s="58"/>
      <c r="Y662" s="58"/>
      <c r="AB662" s="69"/>
      <c r="AC662" s="70">
        <v>718</v>
      </c>
      <c r="AD662" s="71">
        <v>120</v>
      </c>
      <c r="AE662" s="70"/>
      <c r="AF662" s="70"/>
      <c r="AG662" s="70"/>
      <c r="AH662" s="72"/>
      <c r="AI662" s="73"/>
      <c r="AJ662" s="89" t="s">
        <v>44</v>
      </c>
      <c r="AK662" s="90" t="s">
        <v>45</v>
      </c>
      <c r="AL662" s="90" t="s">
        <v>46</v>
      </c>
      <c r="AO662" s="59"/>
      <c r="AP662" s="60"/>
      <c r="AQ662" s="61"/>
      <c r="AR662" s="62">
        <v>460</v>
      </c>
      <c r="AS662" s="61">
        <v>46</v>
      </c>
      <c r="AT662" s="61"/>
      <c r="AU662" s="75"/>
      <c r="AV662" s="84"/>
      <c r="AW662" s="77"/>
      <c r="AX662" s="58"/>
      <c r="AY662" s="58"/>
    </row>
    <row r="663" spans="2:51">
      <c r="B663" s="69"/>
      <c r="C663" s="70"/>
      <c r="D663" s="71"/>
      <c r="E663" s="70"/>
      <c r="F663" s="70"/>
      <c r="G663" s="70"/>
      <c r="H663" s="72"/>
      <c r="I663" s="73"/>
      <c r="J663" s="58"/>
      <c r="K663" s="58"/>
      <c r="L663" s="58"/>
      <c r="O663" s="59"/>
      <c r="P663" s="61"/>
      <c r="Q663" s="61"/>
      <c r="R663" s="62">
        <v>284</v>
      </c>
      <c r="S663" s="61"/>
      <c r="T663" s="61"/>
      <c r="U663" s="75"/>
      <c r="V663" s="76"/>
      <c r="W663" s="58"/>
      <c r="X663" s="58"/>
      <c r="Y663" s="58"/>
      <c r="AB663" s="59"/>
      <c r="AC663" s="60">
        <v>548</v>
      </c>
      <c r="AD663" s="61">
        <v>52</v>
      </c>
      <c r="AE663" s="62"/>
      <c r="AF663" s="61"/>
      <c r="AG663" s="61"/>
      <c r="AH663" s="75"/>
      <c r="AI663" s="76"/>
      <c r="AJ663" s="92" t="s">
        <v>47</v>
      </c>
      <c r="AK663" s="93" t="s">
        <v>48</v>
      </c>
      <c r="AL663" s="93" t="s">
        <v>65</v>
      </c>
      <c r="AO663" s="69"/>
      <c r="AP663" s="70">
        <v>214</v>
      </c>
      <c r="AQ663" s="85">
        <v>21</v>
      </c>
      <c r="AR663" s="70"/>
      <c r="AS663" s="70"/>
      <c r="AT663" s="70"/>
      <c r="AU663" s="72"/>
      <c r="AV663" s="73"/>
      <c r="AW663" s="77"/>
      <c r="AX663" s="58"/>
      <c r="AY663" s="58"/>
    </row>
    <row r="664" spans="2:51">
      <c r="B664" s="59"/>
      <c r="C664" s="60"/>
      <c r="D664" s="61"/>
      <c r="E664" s="62"/>
      <c r="F664" s="61"/>
      <c r="G664" s="61"/>
      <c r="H664" s="75"/>
      <c r="I664" s="76"/>
      <c r="O664" s="69"/>
      <c r="P664" s="71"/>
      <c r="Q664" s="71"/>
      <c r="R664" s="70">
        <v>448</v>
      </c>
      <c r="S664" s="70">
        <v>67.2</v>
      </c>
      <c r="T664" s="70"/>
      <c r="U664" s="72"/>
      <c r="V664" s="73"/>
      <c r="W664" s="58"/>
      <c r="X664" s="58"/>
      <c r="Y664" s="58"/>
      <c r="AB664" s="69"/>
      <c r="AC664" s="70"/>
      <c r="AD664" s="71"/>
      <c r="AE664" s="70">
        <v>175</v>
      </c>
      <c r="AF664" s="70"/>
      <c r="AG664" s="70"/>
      <c r="AH664" s="72"/>
      <c r="AI664" s="73"/>
      <c r="AJ664" s="94" t="s">
        <v>52</v>
      </c>
      <c r="AK664" s="95" t="s">
        <v>27</v>
      </c>
      <c r="AL664" s="95" t="s">
        <v>43</v>
      </c>
      <c r="AO664" s="59"/>
      <c r="AP664" s="60"/>
      <c r="AQ664" s="61">
        <v>40</v>
      </c>
      <c r="AR664" s="62">
        <v>350</v>
      </c>
      <c r="AS664" s="61"/>
      <c r="AT664" s="61"/>
      <c r="AU664" s="75"/>
      <c r="AV664" s="84"/>
      <c r="AW664" s="77"/>
      <c r="AX664" s="58"/>
      <c r="AY664" s="58"/>
    </row>
    <row r="665" spans="2:51">
      <c r="B665" s="69"/>
      <c r="C665" s="112"/>
      <c r="D665" s="71"/>
      <c r="E665" s="58"/>
      <c r="F665" s="70"/>
      <c r="G665" s="70"/>
      <c r="H665" s="72"/>
      <c r="I665" s="73"/>
      <c r="O665" s="59"/>
      <c r="P665" s="61">
        <v>15</v>
      </c>
      <c r="Q665" s="61"/>
      <c r="R665" s="62"/>
      <c r="S665" s="61"/>
      <c r="T665" s="61"/>
      <c r="U665" s="75"/>
      <c r="V665" s="76"/>
      <c r="W665" s="58"/>
      <c r="X665" s="58"/>
      <c r="Y665" s="58"/>
      <c r="AB665" s="59"/>
      <c r="AC665" s="60"/>
      <c r="AD665" s="61"/>
      <c r="AE665" s="62">
        <v>267</v>
      </c>
      <c r="AF665" s="61">
        <v>26.7</v>
      </c>
      <c r="AG665" s="61"/>
      <c r="AH665" s="75"/>
      <c r="AI665" s="76"/>
      <c r="AJ665" s="77"/>
      <c r="AK665" s="77"/>
      <c r="AL665" s="87"/>
      <c r="AO665" s="69"/>
      <c r="AP665" s="70"/>
      <c r="AQ665" s="85"/>
      <c r="AR665" s="70">
        <v>522</v>
      </c>
      <c r="AS665" s="70"/>
      <c r="AT665" s="70"/>
      <c r="AU665" s="72"/>
      <c r="AV665" s="73"/>
      <c r="AW665" s="89" t="s">
        <v>44</v>
      </c>
      <c r="AX665" s="90" t="s">
        <v>45</v>
      </c>
      <c r="AY665" s="90" t="s">
        <v>46</v>
      </c>
    </row>
    <row r="666" spans="2:51">
      <c r="B666" s="59"/>
      <c r="C666" s="60"/>
      <c r="D666" s="61"/>
      <c r="E666" s="62"/>
      <c r="F666" s="61"/>
      <c r="G666" s="61"/>
      <c r="H666" s="75"/>
      <c r="I666" s="76"/>
      <c r="O666" s="69"/>
      <c r="P666" s="71"/>
      <c r="Q666" s="71"/>
      <c r="R666" s="70">
        <v>564</v>
      </c>
      <c r="S666" s="70">
        <v>56.4</v>
      </c>
      <c r="T666" s="70"/>
      <c r="U666" s="72"/>
      <c r="V666" s="73"/>
      <c r="W666" s="58"/>
      <c r="AB666" s="69"/>
      <c r="AC666" s="70"/>
      <c r="AD666" s="71"/>
      <c r="AE666" s="70"/>
      <c r="AF666" s="70"/>
      <c r="AG666" s="70"/>
      <c r="AH666" s="72"/>
      <c r="AI666" s="73"/>
      <c r="AJ666" s="58"/>
      <c r="AK666" s="58"/>
      <c r="AL666" s="58"/>
      <c r="AO666" s="59"/>
      <c r="AP666" s="60">
        <v>175</v>
      </c>
      <c r="AQ666" s="61"/>
      <c r="AR666" s="62"/>
      <c r="AS666" s="61"/>
      <c r="AT666" s="61"/>
      <c r="AU666" s="75"/>
      <c r="AV666" s="84"/>
      <c r="AW666" s="92" t="s">
        <v>47</v>
      </c>
      <c r="AX666" s="93" t="s">
        <v>174</v>
      </c>
      <c r="AY666" s="93" t="s">
        <v>65</v>
      </c>
    </row>
    <row r="667" spans="2:51">
      <c r="B667" s="96"/>
      <c r="C667" s="97"/>
      <c r="D667" s="98"/>
      <c r="E667" s="99"/>
      <c r="F667" s="98"/>
      <c r="G667" s="98"/>
      <c r="H667" s="72"/>
      <c r="I667" s="73"/>
      <c r="O667" s="59"/>
      <c r="P667" s="61">
        <v>46</v>
      </c>
      <c r="Q667" s="61"/>
      <c r="R667" s="62"/>
      <c r="S667" s="61"/>
      <c r="T667" s="61"/>
      <c r="U667" s="75"/>
      <c r="V667" s="76"/>
      <c r="W667" s="58"/>
      <c r="AB667" s="59"/>
      <c r="AC667" s="60"/>
      <c r="AD667" s="61"/>
      <c r="AE667" s="62"/>
      <c r="AF667" s="61"/>
      <c r="AG667" s="61"/>
      <c r="AH667" s="75"/>
      <c r="AI667" s="76"/>
      <c r="AJ667" s="58"/>
      <c r="AK667" s="58"/>
      <c r="AL667" s="58"/>
      <c r="AO667" s="69"/>
      <c r="AP667" s="70"/>
      <c r="AQ667" s="85"/>
      <c r="AR667" s="70"/>
      <c r="AS667" s="70"/>
      <c r="AT667" s="70"/>
      <c r="AU667" s="72"/>
      <c r="AV667" s="73"/>
      <c r="AW667" s="94" t="s">
        <v>52</v>
      </c>
      <c r="AX667" s="95" t="s">
        <v>27</v>
      </c>
      <c r="AY667" s="95" t="s">
        <v>43</v>
      </c>
    </row>
    <row r="668" spans="2:51">
      <c r="B668" s="59"/>
      <c r="C668" s="60"/>
      <c r="D668" s="61"/>
      <c r="E668" s="62"/>
      <c r="F668" s="61"/>
      <c r="G668" s="61"/>
      <c r="H668" s="75"/>
      <c r="I668" s="76"/>
      <c r="O668" s="69"/>
      <c r="P668" s="71">
        <v>158</v>
      </c>
      <c r="Q668" s="71">
        <v>42</v>
      </c>
      <c r="R668" s="70"/>
      <c r="S668" s="70"/>
      <c r="T668" s="70"/>
      <c r="U668" s="72"/>
      <c r="V668" s="73"/>
      <c r="W668" s="58"/>
      <c r="AB668" s="69"/>
      <c r="AC668" s="71"/>
      <c r="AD668" s="71"/>
      <c r="AE668" s="70"/>
      <c r="AF668" s="70"/>
      <c r="AG668" s="70"/>
      <c r="AH668" s="72"/>
      <c r="AI668" s="73"/>
      <c r="AJ668" s="58"/>
      <c r="AK668" s="58"/>
      <c r="AL668" s="58"/>
      <c r="AO668" s="59"/>
      <c r="AP668" s="60"/>
      <c r="AQ668" s="61"/>
      <c r="AR668" s="62"/>
      <c r="AS668" s="61"/>
      <c r="AT668" s="61"/>
      <c r="AU668" s="75"/>
      <c r="AV668" s="84"/>
      <c r="AW668" s="77"/>
      <c r="AX668" s="77"/>
      <c r="AY668" s="87"/>
    </row>
    <row r="669" spans="2:51">
      <c r="B669" s="59"/>
      <c r="C669" s="60"/>
      <c r="D669" s="61"/>
      <c r="E669" s="62"/>
      <c r="F669" s="61"/>
      <c r="G669" s="61"/>
      <c r="H669" s="75"/>
      <c r="I669" s="76"/>
      <c r="O669" s="59"/>
      <c r="P669" s="61">
        <v>281</v>
      </c>
      <c r="Q669" s="61">
        <v>30</v>
      </c>
      <c r="R669" s="62"/>
      <c r="S669" s="61"/>
      <c r="T669" s="61"/>
      <c r="U669" s="75"/>
      <c r="V669" s="76"/>
      <c r="W669" s="58"/>
      <c r="AB669" s="59"/>
      <c r="AC669" s="61"/>
      <c r="AD669" s="61"/>
      <c r="AE669" s="62"/>
      <c r="AF669" s="61"/>
      <c r="AG669" s="61"/>
      <c r="AH669" s="75"/>
      <c r="AI669" s="76"/>
      <c r="AJ669" s="58"/>
      <c r="AK669" s="58"/>
      <c r="AL669" s="58"/>
      <c r="AO669" s="69"/>
      <c r="AP669" s="70"/>
      <c r="AQ669" s="85"/>
      <c r="AR669" s="70"/>
      <c r="AS669" s="70"/>
      <c r="AT669" s="70"/>
      <c r="AU669" s="72"/>
      <c r="AV669" s="73"/>
      <c r="AW669" s="58"/>
      <c r="AX669" s="58"/>
      <c r="AY669" s="58"/>
    </row>
    <row r="670" ht="15.75" spans="2:51">
      <c r="B670" s="69"/>
      <c r="C670" s="112"/>
      <c r="D670" s="71"/>
      <c r="E670" s="58"/>
      <c r="F670" s="70"/>
      <c r="G670" s="70"/>
      <c r="H670" s="72"/>
      <c r="I670" s="73"/>
      <c r="O670" s="69"/>
      <c r="P670" s="71"/>
      <c r="Q670" s="71"/>
      <c r="R670" s="70">
        <v>625</v>
      </c>
      <c r="S670" s="70">
        <v>125</v>
      </c>
      <c r="T670" s="70"/>
      <c r="U670" s="72"/>
      <c r="V670" s="73"/>
      <c r="W670" s="58"/>
      <c r="AB670" s="69"/>
      <c r="AC670" s="70"/>
      <c r="AD670" s="71"/>
      <c r="AE670" s="70"/>
      <c r="AF670" s="70"/>
      <c r="AG670" s="70"/>
      <c r="AH670" s="72"/>
      <c r="AI670" s="73"/>
      <c r="AJ670" s="58"/>
      <c r="AK670" s="58"/>
      <c r="AL670" s="58"/>
      <c r="AO670" s="59"/>
      <c r="AP670" s="60"/>
      <c r="AQ670" s="61"/>
      <c r="AR670" s="62"/>
      <c r="AS670" s="61"/>
      <c r="AT670" s="61"/>
      <c r="AU670" s="75"/>
      <c r="AV670" s="84"/>
      <c r="AW670" s="58"/>
      <c r="AX670" s="58"/>
      <c r="AY670" s="58"/>
    </row>
    <row r="671" ht="15.75" spans="2:51">
      <c r="B671" s="102">
        <f t="shared" ref="B671:G671" si="115">SUM(B646:B670)</f>
        <v>509</v>
      </c>
      <c r="C671" s="103">
        <f t="shared" si="115"/>
        <v>2377</v>
      </c>
      <c r="D671" s="104">
        <f t="shared" si="115"/>
        <v>193.5</v>
      </c>
      <c r="E671" s="105">
        <f t="shared" si="115"/>
        <v>1498</v>
      </c>
      <c r="F671" s="106">
        <f t="shared" si="115"/>
        <v>78.5</v>
      </c>
      <c r="G671" s="107">
        <f t="shared" si="115"/>
        <v>77</v>
      </c>
      <c r="H671" s="108" t="s">
        <v>54</v>
      </c>
      <c r="I671" s="109"/>
      <c r="O671" s="59"/>
      <c r="P671" s="61">
        <v>436</v>
      </c>
      <c r="Q671" s="61">
        <v>24</v>
      </c>
      <c r="R671" s="62"/>
      <c r="S671" s="61"/>
      <c r="T671" s="61"/>
      <c r="U671" s="75"/>
      <c r="V671" s="76"/>
      <c r="W671" s="58"/>
      <c r="AB671" s="59"/>
      <c r="AC671" s="60"/>
      <c r="AD671" s="61"/>
      <c r="AE671" s="62"/>
      <c r="AF671" s="61"/>
      <c r="AG671" s="61"/>
      <c r="AH671" s="75"/>
      <c r="AI671" s="76"/>
      <c r="AO671" s="96"/>
      <c r="AP671" s="97"/>
      <c r="AQ671" s="98"/>
      <c r="AR671" s="99"/>
      <c r="AS671" s="98"/>
      <c r="AT671" s="98"/>
      <c r="AU671" s="72"/>
      <c r="AV671" s="73"/>
    </row>
    <row r="672" spans="2:51">
      <c r="O672" s="69"/>
      <c r="P672" s="71"/>
      <c r="Q672" s="71"/>
      <c r="R672" s="70">
        <v>478</v>
      </c>
      <c r="S672" s="70">
        <v>47.8</v>
      </c>
      <c r="T672" s="70"/>
      <c r="U672" s="72"/>
      <c r="V672" s="73"/>
      <c r="W672" s="58"/>
      <c r="AB672" s="96"/>
      <c r="AC672" s="97"/>
      <c r="AD672" s="98"/>
      <c r="AE672" s="99"/>
      <c r="AF672" s="98"/>
      <c r="AG672" s="98"/>
      <c r="AH672" s="72"/>
      <c r="AI672" s="73"/>
      <c r="AO672" s="59"/>
      <c r="AP672" s="60"/>
      <c r="AQ672" s="61"/>
      <c r="AR672" s="62"/>
      <c r="AS672" s="61"/>
      <c r="AT672" s="61"/>
      <c r="AU672" s="75"/>
      <c r="AV672" s="76"/>
    </row>
    <row r="673" customHeight="1" spans="2:51">
      <c r="O673" s="59"/>
      <c r="P673" s="61"/>
      <c r="Q673" s="61"/>
      <c r="R673" s="62">
        <v>406</v>
      </c>
      <c r="S673" s="61">
        <v>40.6</v>
      </c>
      <c r="T673" s="61"/>
      <c r="U673" s="75"/>
      <c r="V673" s="76"/>
      <c r="W673" s="58"/>
      <c r="AB673" s="59"/>
      <c r="AC673" s="60"/>
      <c r="AD673" s="61"/>
      <c r="AE673" s="62"/>
      <c r="AF673" s="61"/>
      <c r="AG673" s="61"/>
      <c r="AH673" s="75"/>
      <c r="AI673" s="76"/>
      <c r="AO673" s="96"/>
      <c r="AP673" s="97"/>
      <c r="AQ673" s="98"/>
      <c r="AR673" s="99"/>
      <c r="AS673" s="98"/>
      <c r="AT673" s="98"/>
      <c r="AU673" s="72"/>
      <c r="AV673" s="73"/>
    </row>
    <row r="674" spans="2:51">
      <c r="B674" s="33" t="s">
        <v>329</v>
      </c>
      <c r="C674" s="34"/>
      <c r="D674" s="34"/>
      <c r="E674" s="34"/>
      <c r="F674" s="34"/>
      <c r="G674" s="34"/>
      <c r="H674" s="34"/>
      <c r="I674" s="34"/>
      <c r="J674" s="34"/>
      <c r="K674" s="34"/>
      <c r="L674" s="35"/>
      <c r="O674" s="69"/>
      <c r="P674" s="71">
        <v>270</v>
      </c>
      <c r="Q674" s="71">
        <v>20</v>
      </c>
      <c r="R674" s="70"/>
      <c r="S674" s="70"/>
      <c r="T674" s="70"/>
      <c r="U674" s="72"/>
      <c r="V674" s="73"/>
      <c r="W674" s="58"/>
      <c r="AB674" s="96"/>
      <c r="AC674" s="97"/>
      <c r="AD674" s="98"/>
      <c r="AE674" s="99"/>
      <c r="AF674" s="98"/>
      <c r="AG674" s="98"/>
      <c r="AH674" s="72"/>
      <c r="AI674" s="73"/>
      <c r="AO674" s="59"/>
      <c r="AP674" s="60"/>
      <c r="AQ674" s="61"/>
      <c r="AR674" s="62"/>
      <c r="AS674" s="61"/>
      <c r="AT674" s="61"/>
      <c r="AU674" s="75"/>
      <c r="AV674" s="76"/>
    </row>
    <row r="675" ht="15.75" spans="2:51">
      <c r="B675" s="36"/>
      <c r="C675" s="37"/>
      <c r="D675" s="37"/>
      <c r="E675" s="37"/>
      <c r="F675" s="37"/>
      <c r="G675" s="37"/>
      <c r="H675" s="37"/>
      <c r="I675" s="37"/>
      <c r="J675" s="37"/>
      <c r="K675" s="37"/>
      <c r="L675" s="38"/>
      <c r="O675" s="59"/>
      <c r="P675" s="61"/>
      <c r="Q675" s="61"/>
      <c r="R675" s="62"/>
      <c r="S675" s="61"/>
      <c r="T675" s="61"/>
      <c r="U675" s="75"/>
      <c r="V675" s="76"/>
      <c r="W675" s="58"/>
      <c r="AB675" s="59"/>
      <c r="AC675" s="60"/>
      <c r="AD675" s="61"/>
      <c r="AE675" s="62"/>
      <c r="AF675" s="61"/>
      <c r="AG675" s="61"/>
      <c r="AH675" s="75"/>
      <c r="AI675" s="76"/>
      <c r="AO675" s="96"/>
      <c r="AP675" s="97"/>
      <c r="AQ675" s="98"/>
      <c r="AR675" s="99"/>
      <c r="AS675" s="98"/>
      <c r="AT675" s="98"/>
      <c r="AU675" s="72"/>
      <c r="AV675" s="73"/>
    </row>
    <row r="676" ht="15.75" spans="2:51">
      <c r="B676" s="39" t="s">
        <v>12</v>
      </c>
      <c r="C676" s="40" t="s">
        <v>13</v>
      </c>
      <c r="D676" s="41"/>
      <c r="E676" s="42" t="s">
        <v>14</v>
      </c>
      <c r="F676" s="43"/>
      <c r="G676" s="44" t="s">
        <v>15</v>
      </c>
      <c r="H676" s="45"/>
      <c r="I676" s="46"/>
      <c r="J676" s="47" t="s">
        <v>16</v>
      </c>
      <c r="K676" s="48"/>
      <c r="L676" s="49">
        <f>C703+E703</f>
        <v>10252</v>
      </c>
      <c r="O676" s="69"/>
      <c r="P676" s="71"/>
      <c r="Q676" s="71"/>
      <c r="R676" s="70"/>
      <c r="S676" s="70"/>
      <c r="T676" s="70"/>
      <c r="U676" s="72"/>
      <c r="V676" s="73"/>
      <c r="W676" s="58"/>
      <c r="AB676" s="96"/>
      <c r="AC676" s="97"/>
      <c r="AD676" s="98"/>
      <c r="AE676" s="99"/>
      <c r="AF676" s="98"/>
      <c r="AG676" s="98"/>
      <c r="AH676" s="72"/>
      <c r="AI676" s="73"/>
      <c r="AO676" s="59"/>
      <c r="AP676" s="60"/>
      <c r="AQ676" s="61"/>
      <c r="AR676" s="62"/>
      <c r="AS676" s="61"/>
      <c r="AT676" s="61"/>
      <c r="AU676" s="75"/>
      <c r="AV676" s="76"/>
    </row>
    <row r="677" ht="15.75" spans="2:51">
      <c r="B677" s="50"/>
      <c r="C677" s="51" t="s">
        <v>17</v>
      </c>
      <c r="D677" s="51" t="s">
        <v>18</v>
      </c>
      <c r="E677" s="52" t="s">
        <v>17</v>
      </c>
      <c r="F677" s="52" t="s">
        <v>18</v>
      </c>
      <c r="G677" s="53"/>
      <c r="H677" s="54"/>
      <c r="I677" s="55"/>
      <c r="J677" s="56" t="s">
        <v>19</v>
      </c>
      <c r="K677" s="57"/>
      <c r="L677" s="49">
        <f>D703+F703</f>
        <v>881.95</v>
      </c>
      <c r="O677" s="59"/>
      <c r="P677" s="61"/>
      <c r="Q677" s="61"/>
      <c r="R677" s="62"/>
      <c r="S677" s="61"/>
      <c r="T677" s="61"/>
      <c r="U677" s="75"/>
      <c r="V677" s="76"/>
      <c r="W677" s="58"/>
      <c r="AB677" s="102">
        <f t="shared" ref="AB677:AG677" si="116">SUM(AB653:AB676)</f>
        <v>1153</v>
      </c>
      <c r="AC677" s="103">
        <f t="shared" si="116"/>
        <v>2570</v>
      </c>
      <c r="AD677" s="104">
        <f t="shared" si="116"/>
        <v>266</v>
      </c>
      <c r="AE677" s="105">
        <f t="shared" si="116"/>
        <v>2311</v>
      </c>
      <c r="AF677" s="106">
        <f t="shared" si="116"/>
        <v>154.3</v>
      </c>
      <c r="AG677" s="107">
        <f t="shared" si="116"/>
        <v>60</v>
      </c>
      <c r="AH677" s="108" t="s">
        <v>54</v>
      </c>
      <c r="AI677" s="109"/>
      <c r="AO677" s="96"/>
      <c r="AP677" s="97"/>
      <c r="AQ677" s="98"/>
      <c r="AR677" s="99"/>
      <c r="AS677" s="98"/>
      <c r="AT677" s="98"/>
      <c r="AU677" s="72"/>
      <c r="AV677" s="73"/>
    </row>
    <row r="678" ht="15.75" spans="2:51">
      <c r="B678" s="59">
        <v>602</v>
      </c>
      <c r="C678" s="60">
        <v>15</v>
      </c>
      <c r="D678" s="61"/>
      <c r="E678" s="62"/>
      <c r="F678" s="61"/>
      <c r="G678" s="61">
        <v>145</v>
      </c>
      <c r="H678" s="63" t="s">
        <v>89</v>
      </c>
      <c r="I678" s="64"/>
      <c r="J678" s="65" t="s">
        <v>21</v>
      </c>
      <c r="K678" s="66"/>
      <c r="L678" s="67">
        <f>G703</f>
        <v>515</v>
      </c>
      <c r="O678" s="69"/>
      <c r="P678" s="112"/>
      <c r="Q678" s="71"/>
      <c r="R678" s="58"/>
      <c r="S678" s="70"/>
      <c r="T678" s="70"/>
      <c r="U678" s="72"/>
      <c r="V678" s="73"/>
      <c r="AO678" s="102">
        <f t="shared" ref="AO678:AT678" si="117">SUM(AO656:AO677)</f>
        <v>2373</v>
      </c>
      <c r="AP678" s="103">
        <f t="shared" si="117"/>
        <v>1202</v>
      </c>
      <c r="AQ678" s="104">
        <f t="shared" si="117"/>
        <v>174</v>
      </c>
      <c r="AR678" s="105">
        <f t="shared" si="117"/>
        <v>1642</v>
      </c>
      <c r="AS678" s="106">
        <f t="shared" si="117"/>
        <v>46</v>
      </c>
      <c r="AT678" s="107">
        <f t="shared" si="117"/>
        <v>2201</v>
      </c>
      <c r="AU678" s="108" t="s">
        <v>54</v>
      </c>
      <c r="AV678" s="109"/>
    </row>
    <row r="679" ht="20" customHeight="1" spans="2:51">
      <c r="B679" s="69"/>
      <c r="C679" s="70">
        <v>203</v>
      </c>
      <c r="D679" s="71"/>
      <c r="E679" s="70"/>
      <c r="F679" s="70"/>
      <c r="G679" s="70">
        <v>30</v>
      </c>
      <c r="H679" s="72" t="s">
        <v>29</v>
      </c>
      <c r="I679" s="73"/>
      <c r="J679" s="74" t="s">
        <v>26</v>
      </c>
      <c r="K679" s="57"/>
      <c r="L679" s="49">
        <f>B703+L676+L677-L678-E703-F703</f>
        <v>3094</v>
      </c>
      <c r="O679" s="59"/>
      <c r="P679" s="60"/>
      <c r="Q679" s="61"/>
      <c r="R679" s="62"/>
      <c r="S679" s="61"/>
      <c r="T679" s="61"/>
      <c r="U679" s="75"/>
      <c r="V679" s="76"/>
    </row>
    <row r="680" ht="15.75" spans="2:51">
      <c r="B680" s="59"/>
      <c r="C680" s="60">
        <v>604</v>
      </c>
      <c r="D680" s="61">
        <v>91</v>
      </c>
      <c r="E680" s="62"/>
      <c r="F680" s="61"/>
      <c r="G680" s="61">
        <v>340</v>
      </c>
      <c r="H680" s="75" t="s">
        <v>230</v>
      </c>
      <c r="I680" s="76"/>
      <c r="J680" s="77"/>
      <c r="K680" s="78" t="s">
        <v>30</v>
      </c>
      <c r="L680" s="79">
        <f>L677/4</f>
        <v>220.4875</v>
      </c>
      <c r="O680" s="96"/>
      <c r="P680" s="97"/>
      <c r="Q680" s="98"/>
      <c r="R680" s="99"/>
      <c r="S680" s="98"/>
      <c r="T680" s="98"/>
      <c r="U680" s="72"/>
      <c r="V680" s="73"/>
      <c r="AB680" s="33" t="s">
        <v>330</v>
      </c>
      <c r="AC680" s="34"/>
      <c r="AD680" s="34"/>
      <c r="AE680" s="34"/>
      <c r="AF680" s="34"/>
      <c r="AG680" s="34"/>
      <c r="AH680" s="34"/>
      <c r="AI680" s="34"/>
      <c r="AJ680" s="34"/>
      <c r="AK680" s="34"/>
      <c r="AL680" s="35"/>
    </row>
    <row r="681" ht="15.75" spans="2:51">
      <c r="B681" s="69"/>
      <c r="C681" s="70"/>
      <c r="D681" s="71"/>
      <c r="E681" s="70">
        <v>203</v>
      </c>
      <c r="F681" s="70">
        <v>10.15</v>
      </c>
      <c r="G681" s="70"/>
      <c r="H681" s="72"/>
      <c r="I681" s="73"/>
      <c r="J681" s="77"/>
      <c r="K681" s="80" t="s">
        <v>34</v>
      </c>
      <c r="L681" s="81">
        <f>L677/6</f>
        <v>146.991666666667</v>
      </c>
      <c r="O681" s="59"/>
      <c r="P681" s="60"/>
      <c r="Q681" s="61"/>
      <c r="R681" s="62"/>
      <c r="S681" s="61"/>
      <c r="T681" s="61"/>
      <c r="U681" s="75"/>
      <c r="V681" s="76"/>
      <c r="AB681" s="36"/>
      <c r="AC681" s="37"/>
      <c r="AD681" s="37"/>
      <c r="AE681" s="37"/>
      <c r="AF681" s="37"/>
      <c r="AG681" s="37"/>
      <c r="AH681" s="37"/>
      <c r="AI681" s="37"/>
      <c r="AJ681" s="37"/>
      <c r="AK681" s="37"/>
      <c r="AL681" s="38"/>
      <c r="AO681" s="33" t="s">
        <v>331</v>
      </c>
      <c r="AP681" s="34"/>
      <c r="AQ681" s="34"/>
      <c r="AR681" s="34"/>
      <c r="AS681" s="34"/>
      <c r="AT681" s="34"/>
      <c r="AU681" s="34"/>
      <c r="AV681" s="34"/>
      <c r="AW681" s="34"/>
      <c r="AX681" s="34"/>
      <c r="AY681" s="35"/>
    </row>
    <row r="682" ht="15.75" spans="2:51">
      <c r="B682" s="59"/>
      <c r="C682" s="60"/>
      <c r="D682" s="61"/>
      <c r="E682" s="62">
        <v>108</v>
      </c>
      <c r="F682" s="61">
        <v>5.4</v>
      </c>
      <c r="G682" s="61"/>
      <c r="H682" s="75"/>
      <c r="I682" s="76"/>
      <c r="J682" s="77"/>
      <c r="K682" s="82" t="s">
        <v>37</v>
      </c>
      <c r="L682" s="83">
        <f>L677/8</f>
        <v>110.24375</v>
      </c>
      <c r="O682" s="96"/>
      <c r="P682" s="97"/>
      <c r="Q682" s="98"/>
      <c r="R682" s="99"/>
      <c r="S682" s="98"/>
      <c r="T682" s="98"/>
      <c r="U682" s="100"/>
      <c r="V682" s="101"/>
      <c r="AB682" s="39" t="s">
        <v>12</v>
      </c>
      <c r="AC682" s="40" t="s">
        <v>13</v>
      </c>
      <c r="AD682" s="41"/>
      <c r="AE682" s="42" t="s">
        <v>14</v>
      </c>
      <c r="AF682" s="43"/>
      <c r="AG682" s="44" t="s">
        <v>15</v>
      </c>
      <c r="AH682" s="45"/>
      <c r="AI682" s="46"/>
      <c r="AJ682" s="47" t="s">
        <v>16</v>
      </c>
      <c r="AK682" s="48"/>
      <c r="AL682" s="49">
        <f>AC698+AE698</f>
        <v>2940</v>
      </c>
      <c r="AO682" s="36"/>
      <c r="AP682" s="37"/>
      <c r="AQ682" s="37"/>
      <c r="AR682" s="37"/>
      <c r="AS682" s="37"/>
      <c r="AT682" s="37"/>
      <c r="AU682" s="37"/>
      <c r="AV682" s="37"/>
      <c r="AW682" s="37"/>
      <c r="AX682" s="37"/>
      <c r="AY682" s="38"/>
    </row>
    <row r="683" ht="15.75" spans="2:51">
      <c r="B683" s="69"/>
      <c r="C683" s="70">
        <v>547</v>
      </c>
      <c r="D683" s="85">
        <v>53</v>
      </c>
      <c r="E683" s="70"/>
      <c r="F683" s="70"/>
      <c r="G683" s="70"/>
      <c r="H683" s="72"/>
      <c r="I683" s="73"/>
      <c r="J683" s="86"/>
      <c r="K683" s="77"/>
      <c r="L683" s="87"/>
      <c r="O683" s="102">
        <f t="shared" ref="O683:T683" si="118">SUM(O647:O682)</f>
        <v>620</v>
      </c>
      <c r="P683" s="103">
        <f t="shared" si="118"/>
        <v>3472</v>
      </c>
      <c r="Q683" s="104">
        <f t="shared" si="118"/>
        <v>265</v>
      </c>
      <c r="R683" s="105">
        <f t="shared" si="118"/>
        <v>5838</v>
      </c>
      <c r="S683" s="106">
        <f t="shared" si="118"/>
        <v>639.05</v>
      </c>
      <c r="T683" s="107">
        <f t="shared" si="118"/>
        <v>387</v>
      </c>
      <c r="U683" s="108" t="s">
        <v>54</v>
      </c>
      <c r="V683" s="109"/>
      <c r="AB683" s="50"/>
      <c r="AC683" s="51" t="s">
        <v>17</v>
      </c>
      <c r="AD683" s="51" t="s">
        <v>18</v>
      </c>
      <c r="AE683" s="52" t="s">
        <v>17</v>
      </c>
      <c r="AF683" s="52" t="s">
        <v>18</v>
      </c>
      <c r="AG683" s="53"/>
      <c r="AH683" s="54"/>
      <c r="AI683" s="55"/>
      <c r="AJ683" s="56" t="s">
        <v>19</v>
      </c>
      <c r="AK683" s="57"/>
      <c r="AL683" s="49">
        <f>AD698+AF698</f>
        <v>336.3</v>
      </c>
      <c r="AO683" s="39" t="s">
        <v>12</v>
      </c>
      <c r="AP683" s="40" t="s">
        <v>13</v>
      </c>
      <c r="AQ683" s="41"/>
      <c r="AR683" s="42" t="s">
        <v>14</v>
      </c>
      <c r="AS683" s="43"/>
      <c r="AT683" s="44" t="s">
        <v>15</v>
      </c>
      <c r="AU683" s="45"/>
      <c r="AV683" s="46"/>
      <c r="AW683" s="47" t="s">
        <v>16</v>
      </c>
      <c r="AX683" s="48"/>
      <c r="AY683" s="49">
        <f>AP707+AR707</f>
        <v>6704</v>
      </c>
    </row>
    <row r="684" ht="15.75" spans="2:51">
      <c r="B684" s="59"/>
      <c r="C684" s="60"/>
      <c r="D684" s="61"/>
      <c r="E684" s="62">
        <v>608</v>
      </c>
      <c r="F684" s="61">
        <v>42</v>
      </c>
      <c r="G684" s="61"/>
      <c r="H684" s="75"/>
      <c r="I684" s="76"/>
      <c r="J684" s="77"/>
      <c r="K684" s="58"/>
      <c r="L684" s="58"/>
      <c r="AB684" s="59">
        <v>3929</v>
      </c>
      <c r="AC684" s="68">
        <v>438</v>
      </c>
      <c r="AD684" s="61">
        <v>30</v>
      </c>
      <c r="AE684" s="62"/>
      <c r="AF684" s="61"/>
      <c r="AG684" s="61">
        <v>3320</v>
      </c>
      <c r="AH684" s="63" t="s">
        <v>119</v>
      </c>
      <c r="AI684" s="64"/>
      <c r="AJ684" s="65" t="s">
        <v>21</v>
      </c>
      <c r="AK684" s="66"/>
      <c r="AL684" s="67">
        <f>AG698</f>
        <v>3425</v>
      </c>
      <c r="AO684" s="50"/>
      <c r="AP684" s="51" t="s">
        <v>17</v>
      </c>
      <c r="AQ684" s="51" t="s">
        <v>18</v>
      </c>
      <c r="AR684" s="52" t="s">
        <v>17</v>
      </c>
      <c r="AS684" s="52" t="s">
        <v>18</v>
      </c>
      <c r="AT684" s="53"/>
      <c r="AU684" s="54"/>
      <c r="AV684" s="55"/>
      <c r="AW684" s="56" t="s">
        <v>19</v>
      </c>
      <c r="AX684" s="57"/>
      <c r="AY684" s="49">
        <f>AQ707+AS707</f>
        <v>531.5</v>
      </c>
    </row>
    <row r="685" ht="15.75" spans="2:51">
      <c r="B685" s="69"/>
      <c r="C685" s="70"/>
      <c r="D685" s="71"/>
      <c r="E685" s="70">
        <v>645</v>
      </c>
      <c r="F685" s="70">
        <v>64.5</v>
      </c>
      <c r="G685" s="70"/>
      <c r="H685" s="72"/>
      <c r="I685" s="73"/>
      <c r="J685" s="77"/>
      <c r="K685" s="58"/>
      <c r="L685" s="58"/>
      <c r="AB685" s="69"/>
      <c r="AC685" s="70">
        <v>137</v>
      </c>
      <c r="AD685" s="71"/>
      <c r="AE685" s="70"/>
      <c r="AF685" s="70"/>
      <c r="AG685" s="70">
        <v>45</v>
      </c>
      <c r="AH685" s="72" t="s">
        <v>57</v>
      </c>
      <c r="AI685" s="73"/>
      <c r="AJ685" s="74" t="s">
        <v>26</v>
      </c>
      <c r="AK685" s="57"/>
      <c r="AL685" s="49">
        <f>AB698+AL682+AL683-AL684-AE698-AF698</f>
        <v>1436</v>
      </c>
      <c r="AO685" s="59">
        <v>1548</v>
      </c>
      <c r="AP685" s="68">
        <v>30</v>
      </c>
      <c r="AQ685" s="61"/>
      <c r="AR685" s="62"/>
      <c r="AS685" s="61"/>
      <c r="AT685" s="61">
        <v>30</v>
      </c>
      <c r="AU685" s="63" t="s">
        <v>29</v>
      </c>
      <c r="AV685" s="64"/>
      <c r="AW685" s="65" t="s">
        <v>21</v>
      </c>
      <c r="AX685" s="66"/>
      <c r="AY685" s="67">
        <f>AT707</f>
        <v>1799</v>
      </c>
    </row>
    <row r="686" ht="20" customHeight="1" spans="2:51">
      <c r="B686" s="59"/>
      <c r="C686" s="60"/>
      <c r="D686" s="88"/>
      <c r="E686" s="62">
        <v>434</v>
      </c>
      <c r="F686" s="61">
        <v>43.4</v>
      </c>
      <c r="G686" s="61"/>
      <c r="H686" s="75"/>
      <c r="I686" s="76"/>
      <c r="J686" s="77"/>
      <c r="K686" s="58"/>
      <c r="L686" s="58"/>
      <c r="O686" s="33" t="s">
        <v>332</v>
      </c>
      <c r="P686" s="34"/>
      <c r="Q686" s="34"/>
      <c r="R686" s="34"/>
      <c r="S686" s="34"/>
      <c r="T686" s="34"/>
      <c r="U686" s="34"/>
      <c r="V686" s="34"/>
      <c r="W686" s="34"/>
      <c r="X686" s="34"/>
      <c r="Y686" s="35"/>
      <c r="AB686" s="59"/>
      <c r="AC686" s="60"/>
      <c r="AD686" s="61"/>
      <c r="AE686" s="62">
        <v>664</v>
      </c>
      <c r="AF686" s="61">
        <v>99.6</v>
      </c>
      <c r="AG686" s="61">
        <v>30</v>
      </c>
      <c r="AH686" s="75" t="s">
        <v>99</v>
      </c>
      <c r="AI686" s="76"/>
      <c r="AJ686" s="77"/>
      <c r="AK686" s="78" t="s">
        <v>30</v>
      </c>
      <c r="AL686" s="79">
        <f>AL683/4</f>
        <v>84.075</v>
      </c>
      <c r="AO686" s="69"/>
      <c r="AP686" s="70">
        <v>220</v>
      </c>
      <c r="AQ686" s="71">
        <v>20</v>
      </c>
      <c r="AR686" s="70"/>
      <c r="AS686" s="70"/>
      <c r="AT686" s="70">
        <v>300</v>
      </c>
      <c r="AU686" s="72" t="s">
        <v>143</v>
      </c>
      <c r="AV686" s="73"/>
      <c r="AW686" s="74" t="s">
        <v>26</v>
      </c>
      <c r="AX686" s="57"/>
      <c r="AY686" s="49">
        <f>AO707+AY683+AY684-AY685-AR707-AS707</f>
        <v>2492</v>
      </c>
    </row>
    <row r="687" ht="15.75" spans="2:51">
      <c r="B687" s="69"/>
      <c r="C687" s="70"/>
      <c r="D687" s="71">
        <v>150</v>
      </c>
      <c r="E687" s="70">
        <v>1479</v>
      </c>
      <c r="F687" s="70"/>
      <c r="G687" s="70"/>
      <c r="H687" s="72"/>
      <c r="I687" s="73"/>
      <c r="J687" s="89" t="s">
        <v>44</v>
      </c>
      <c r="K687" s="90" t="s">
        <v>45</v>
      </c>
      <c r="L687" s="90" t="s">
        <v>46</v>
      </c>
      <c r="O687" s="36"/>
      <c r="P687" s="37"/>
      <c r="Q687" s="37"/>
      <c r="R687" s="37"/>
      <c r="S687" s="37"/>
      <c r="T687" s="37"/>
      <c r="U687" s="37"/>
      <c r="V687" s="37"/>
      <c r="W687" s="37"/>
      <c r="X687" s="37"/>
      <c r="Y687" s="38"/>
      <c r="AB687" s="69"/>
      <c r="AC687" s="70"/>
      <c r="AD687" s="71"/>
      <c r="AE687" s="70">
        <v>415</v>
      </c>
      <c r="AF687" s="70">
        <v>83</v>
      </c>
      <c r="AG687" s="70">
        <v>30</v>
      </c>
      <c r="AH687" s="72" t="s">
        <v>29</v>
      </c>
      <c r="AI687" s="73"/>
      <c r="AJ687" s="77"/>
      <c r="AK687" s="80" t="s">
        <v>34</v>
      </c>
      <c r="AL687" s="81">
        <f>AL683/6</f>
        <v>56.05</v>
      </c>
      <c r="AO687" s="59"/>
      <c r="AP687" s="60">
        <v>465</v>
      </c>
      <c r="AQ687" s="61">
        <v>50</v>
      </c>
      <c r="AR687" s="62"/>
      <c r="AS687" s="61"/>
      <c r="AT687" s="61">
        <v>280</v>
      </c>
      <c r="AU687" s="75" t="s">
        <v>333</v>
      </c>
      <c r="AV687" s="76"/>
      <c r="AW687" s="77"/>
      <c r="AX687" s="78" t="s">
        <v>30</v>
      </c>
      <c r="AY687" s="79">
        <f>AY684/4</f>
        <v>132.875</v>
      </c>
    </row>
    <row r="688" ht="15.75" spans="2:51">
      <c r="B688" s="59"/>
      <c r="C688" s="60"/>
      <c r="D688" s="61">
        <v>50</v>
      </c>
      <c r="E688" s="62">
        <v>543</v>
      </c>
      <c r="F688" s="61"/>
      <c r="G688" s="61"/>
      <c r="H688" s="75"/>
      <c r="I688" s="76"/>
      <c r="J688" s="92" t="s">
        <v>47</v>
      </c>
      <c r="K688" s="93" t="s">
        <v>77</v>
      </c>
      <c r="L688" s="93" t="s">
        <v>65</v>
      </c>
      <c r="O688" s="39" t="s">
        <v>12</v>
      </c>
      <c r="P688" s="40" t="s">
        <v>13</v>
      </c>
      <c r="Q688" s="41"/>
      <c r="R688" s="42" t="s">
        <v>14</v>
      </c>
      <c r="S688" s="43"/>
      <c r="T688" s="44" t="s">
        <v>15</v>
      </c>
      <c r="U688" s="45"/>
      <c r="V688" s="46"/>
      <c r="W688" s="47" t="s">
        <v>16</v>
      </c>
      <c r="X688" s="48"/>
      <c r="Y688" s="49">
        <f>P705+R705</f>
        <v>3204</v>
      </c>
      <c r="AB688" s="59"/>
      <c r="AC688" s="60"/>
      <c r="AD688" s="61"/>
      <c r="AE688" s="62">
        <v>885</v>
      </c>
      <c r="AF688" s="61">
        <v>88.5</v>
      </c>
      <c r="AG688" s="61"/>
      <c r="AH688" s="75"/>
      <c r="AI688" s="84"/>
      <c r="AJ688" s="77"/>
      <c r="AK688" s="82" t="s">
        <v>37</v>
      </c>
      <c r="AL688" s="83">
        <f>AL683/8</f>
        <v>42.0375</v>
      </c>
      <c r="AO688" s="69"/>
      <c r="AP688" s="70"/>
      <c r="AQ688" s="71"/>
      <c r="AR688" s="70">
        <v>350</v>
      </c>
      <c r="AS688" s="70">
        <v>35</v>
      </c>
      <c r="AT688" s="70">
        <v>1039</v>
      </c>
      <c r="AU688" s="72" t="s">
        <v>39</v>
      </c>
      <c r="AV688" s="73"/>
      <c r="AW688" s="77"/>
      <c r="AX688" s="80" t="s">
        <v>34</v>
      </c>
      <c r="AY688" s="81">
        <f>AY684/6</f>
        <v>88.5833333333333</v>
      </c>
    </row>
    <row r="689" ht="15.75" spans="2:51">
      <c r="B689" s="69"/>
      <c r="C689" s="70"/>
      <c r="D689" s="71"/>
      <c r="E689" s="70">
        <v>873</v>
      </c>
      <c r="F689" s="70">
        <v>27</v>
      </c>
      <c r="G689" s="70"/>
      <c r="H689" s="72"/>
      <c r="I689" s="73"/>
      <c r="J689" s="94" t="s">
        <v>52</v>
      </c>
      <c r="K689" s="95" t="s">
        <v>27</v>
      </c>
      <c r="L689" s="95" t="s">
        <v>39</v>
      </c>
      <c r="O689" s="50"/>
      <c r="P689" s="51" t="s">
        <v>17</v>
      </c>
      <c r="Q689" s="51" t="s">
        <v>18</v>
      </c>
      <c r="R689" s="52" t="s">
        <v>17</v>
      </c>
      <c r="S689" s="52" t="s">
        <v>18</v>
      </c>
      <c r="T689" s="53"/>
      <c r="U689" s="54"/>
      <c r="V689" s="55"/>
      <c r="W689" s="56" t="s">
        <v>19</v>
      </c>
      <c r="X689" s="57"/>
      <c r="Y689" s="49">
        <f>Q705+S705</f>
        <v>319.5</v>
      </c>
      <c r="AB689" s="69"/>
      <c r="AC689" s="70"/>
      <c r="AD689" s="85"/>
      <c r="AE689" s="70">
        <v>104</v>
      </c>
      <c r="AF689" s="70">
        <v>5.2</v>
      </c>
      <c r="AG689" s="70"/>
      <c r="AH689" s="72"/>
      <c r="AI689" s="73"/>
      <c r="AJ689" s="86"/>
      <c r="AK689" s="77"/>
      <c r="AL689" s="87"/>
      <c r="AO689" s="59"/>
      <c r="AP689" s="60">
        <v>215</v>
      </c>
      <c r="AQ689" s="61"/>
      <c r="AR689" s="62"/>
      <c r="AS689" s="61"/>
      <c r="AT689" s="61">
        <v>150</v>
      </c>
      <c r="AU689" s="75" t="s">
        <v>293</v>
      </c>
      <c r="AV689" s="84"/>
      <c r="AW689" s="77"/>
      <c r="AX689" s="82" t="s">
        <v>37</v>
      </c>
      <c r="AY689" s="83">
        <f>AY684/8</f>
        <v>66.4375</v>
      </c>
    </row>
    <row r="690" ht="15.75" spans="2:51">
      <c r="B690" s="59"/>
      <c r="C690" s="60">
        <v>252</v>
      </c>
      <c r="D690" s="61"/>
      <c r="E690" s="62"/>
      <c r="F690" s="61"/>
      <c r="G690" s="61"/>
      <c r="H690" s="75"/>
      <c r="I690" s="76"/>
      <c r="J690" s="77"/>
      <c r="K690" s="77"/>
      <c r="L690" s="87"/>
      <c r="O690" s="59">
        <v>3970</v>
      </c>
      <c r="Q690" s="61"/>
      <c r="R690" s="60">
        <v>696</v>
      </c>
      <c r="S690" s="61">
        <v>69</v>
      </c>
      <c r="T690" s="61">
        <v>25</v>
      </c>
      <c r="U690" s="63" t="s">
        <v>29</v>
      </c>
      <c r="V690" s="64"/>
      <c r="W690" s="65" t="s">
        <v>21</v>
      </c>
      <c r="X690" s="66"/>
      <c r="Y690" s="67">
        <f>T705</f>
        <v>25</v>
      </c>
      <c r="AB690" s="59"/>
      <c r="AC690" s="60">
        <v>297</v>
      </c>
      <c r="AD690" s="61">
        <v>30</v>
      </c>
      <c r="AE690" s="62"/>
      <c r="AF690" s="61"/>
      <c r="AG690" s="61"/>
      <c r="AH690" s="75"/>
      <c r="AI690" s="76"/>
      <c r="AJ690" s="77"/>
      <c r="AK690" s="58"/>
      <c r="AL690" s="58"/>
      <c r="AO690" s="69"/>
      <c r="AP690" s="70"/>
      <c r="AQ690" s="85"/>
      <c r="AR690" s="70">
        <v>490</v>
      </c>
      <c r="AS690" s="70">
        <v>98</v>
      </c>
      <c r="AT690" s="70"/>
      <c r="AU690" s="72"/>
      <c r="AV690" s="73"/>
      <c r="AW690" s="86"/>
      <c r="AX690" s="77"/>
      <c r="AY690" s="87"/>
    </row>
    <row r="691" ht="15.75" spans="2:51">
      <c r="B691" s="69"/>
      <c r="C691" s="70"/>
      <c r="D691" s="71"/>
      <c r="E691" s="70">
        <v>340</v>
      </c>
      <c r="F691" s="70"/>
      <c r="G691" s="70"/>
      <c r="H691" s="72"/>
      <c r="I691" s="73"/>
      <c r="J691" s="58"/>
      <c r="K691" s="58"/>
      <c r="L691" s="58"/>
      <c r="O691" s="69"/>
      <c r="P691" s="70">
        <v>230</v>
      </c>
      <c r="Q691" s="71">
        <v>40</v>
      </c>
      <c r="R691" s="70"/>
      <c r="S691" s="71"/>
      <c r="T691" s="70"/>
      <c r="U691" s="72"/>
      <c r="V691" s="73"/>
      <c r="W691" s="74" t="s">
        <v>26</v>
      </c>
      <c r="X691" s="57"/>
      <c r="Y691" s="49">
        <f>O705+Y688+Y689-Y690-R705-S705</f>
        <v>4739</v>
      </c>
      <c r="AB691" s="69"/>
      <c r="AC691" s="70"/>
      <c r="AD691" s="71"/>
      <c r="AE691" s="70"/>
      <c r="AF691" s="70"/>
      <c r="AG691" s="70"/>
      <c r="AH691" s="72"/>
      <c r="AI691" s="73"/>
      <c r="AJ691" s="77"/>
      <c r="AK691" s="58"/>
      <c r="AL691" s="58"/>
      <c r="AO691" s="59"/>
      <c r="AP691" s="60"/>
      <c r="AQ691" s="61"/>
      <c r="AR691" s="62">
        <v>578</v>
      </c>
      <c r="AS691" s="61">
        <v>86.7</v>
      </c>
      <c r="AT691" s="61"/>
      <c r="AU691" s="75"/>
      <c r="AV691" s="84"/>
      <c r="AW691" s="77"/>
      <c r="AX691" s="58"/>
      <c r="AY691" s="58"/>
    </row>
    <row r="692" spans="2:51">
      <c r="B692" s="59"/>
      <c r="C692" s="60"/>
      <c r="D692" s="61"/>
      <c r="E692" s="62">
        <v>528</v>
      </c>
      <c r="F692" s="61">
        <v>52.8</v>
      </c>
      <c r="G692" s="61"/>
      <c r="H692" s="75"/>
      <c r="I692" s="76"/>
      <c r="J692" s="58"/>
      <c r="K692" s="58"/>
      <c r="L692" s="58"/>
      <c r="O692" s="59"/>
      <c r="P692" s="60"/>
      <c r="Q692" s="60"/>
      <c r="R692" s="60">
        <v>416</v>
      </c>
      <c r="S692">
        <v>83</v>
      </c>
      <c r="T692" s="61"/>
      <c r="U692" s="75"/>
      <c r="V692" s="76"/>
      <c r="W692" s="77"/>
      <c r="X692" s="78" t="s">
        <v>30</v>
      </c>
      <c r="Y692" s="79">
        <f>Y689/4</f>
        <v>79.875</v>
      </c>
      <c r="AB692" s="59"/>
      <c r="AC692" s="60"/>
      <c r="AD692" s="88"/>
      <c r="AE692" s="62"/>
      <c r="AF692" s="61"/>
      <c r="AG692" s="61"/>
      <c r="AH692" s="75"/>
      <c r="AI692" s="76"/>
      <c r="AJ692" s="77"/>
      <c r="AK692" s="58"/>
      <c r="AL692" s="58"/>
      <c r="AO692" s="69"/>
      <c r="AP692" s="70">
        <v>486</v>
      </c>
      <c r="AQ692" s="85">
        <v>64</v>
      </c>
      <c r="AR692" s="70"/>
      <c r="AS692" s="70"/>
      <c r="AT692" s="70"/>
      <c r="AU692" s="72"/>
      <c r="AV692" s="73"/>
      <c r="AW692" s="77"/>
      <c r="AX692" s="58"/>
      <c r="AY692" s="58"/>
    </row>
    <row r="693" spans="2:51">
      <c r="B693" s="69"/>
      <c r="C693" s="71"/>
      <c r="D693" s="71"/>
      <c r="E693" s="70">
        <v>353</v>
      </c>
      <c r="F693" s="70"/>
      <c r="G693" s="70"/>
      <c r="H693" s="72"/>
      <c r="I693" s="73"/>
      <c r="J693" s="58"/>
      <c r="K693" s="58"/>
      <c r="L693" s="58"/>
      <c r="O693" s="69"/>
      <c r="P693" s="70"/>
      <c r="Q693" s="71"/>
      <c r="R693" s="70">
        <v>176</v>
      </c>
      <c r="S693" s="61"/>
      <c r="T693" s="70"/>
      <c r="U693" s="72"/>
      <c r="V693" s="73"/>
      <c r="W693" s="77"/>
      <c r="X693" s="80" t="s">
        <v>34</v>
      </c>
      <c r="Y693" s="81">
        <f>Y689/6</f>
        <v>53.25</v>
      </c>
      <c r="AB693" s="69"/>
      <c r="AC693" s="70"/>
      <c r="AD693" s="71"/>
      <c r="AE693" s="70"/>
      <c r="AF693" s="70"/>
      <c r="AG693" s="70"/>
      <c r="AH693" s="72"/>
      <c r="AI693" s="73"/>
      <c r="AJ693" s="89" t="s">
        <v>44</v>
      </c>
      <c r="AK693" s="90" t="s">
        <v>45</v>
      </c>
      <c r="AL693" s="90" t="s">
        <v>46</v>
      </c>
      <c r="AO693" s="59"/>
      <c r="AP693" s="60">
        <v>158</v>
      </c>
      <c r="AQ693" s="61"/>
      <c r="AR693" s="62"/>
      <c r="AS693" s="61"/>
      <c r="AT693" s="61"/>
      <c r="AU693" s="75"/>
      <c r="AV693" s="84"/>
      <c r="AW693" s="77"/>
      <c r="AX693" s="58"/>
      <c r="AY693" s="58"/>
    </row>
    <row r="694" spans="2:51">
      <c r="B694" s="59"/>
      <c r="C694" s="61"/>
      <c r="D694" s="61"/>
      <c r="E694" s="62">
        <v>373</v>
      </c>
      <c r="F694" s="61">
        <v>18.65</v>
      </c>
      <c r="G694" s="61"/>
      <c r="H694" s="75"/>
      <c r="I694" s="76"/>
      <c r="J694" s="58"/>
      <c r="K694" s="58"/>
      <c r="L694" s="58"/>
      <c r="O694" s="59"/>
      <c r="Q694" s="61"/>
      <c r="R694" s="62">
        <v>170</v>
      </c>
      <c r="S694" s="70">
        <v>8.5</v>
      </c>
      <c r="T694" s="61"/>
      <c r="U694" s="75"/>
      <c r="V694" s="76"/>
      <c r="W694" s="77"/>
      <c r="X694" s="82" t="s">
        <v>37</v>
      </c>
      <c r="Y694" s="83">
        <f>Y689/8</f>
        <v>39.9375</v>
      </c>
      <c r="AB694" s="59"/>
      <c r="AC694" s="60"/>
      <c r="AD694" s="61"/>
      <c r="AE694" s="62"/>
      <c r="AF694" s="61"/>
      <c r="AG694" s="61"/>
      <c r="AH694" s="75"/>
      <c r="AI694" s="76"/>
      <c r="AJ694" s="92" t="s">
        <v>47</v>
      </c>
      <c r="AK694" s="93" t="s">
        <v>48</v>
      </c>
      <c r="AL694" s="93" t="s">
        <v>65</v>
      </c>
      <c r="AO694" s="69"/>
      <c r="AP694" s="70">
        <v>279</v>
      </c>
      <c r="AQ694" s="85"/>
      <c r="AR694" s="70"/>
      <c r="AS694" s="70"/>
      <c r="AT694" s="70"/>
      <c r="AU694" s="72"/>
      <c r="AV694" s="73"/>
      <c r="AW694" s="89" t="s">
        <v>44</v>
      </c>
      <c r="AX694" s="90" t="s">
        <v>45</v>
      </c>
      <c r="AY694" s="90" t="s">
        <v>46</v>
      </c>
    </row>
    <row r="695" spans="2:51">
      <c r="B695" s="69"/>
      <c r="C695" s="70"/>
      <c r="D695" s="71"/>
      <c r="E695" s="70">
        <v>373</v>
      </c>
      <c r="F695" s="70">
        <v>18.65</v>
      </c>
      <c r="G695" s="70"/>
      <c r="H695" s="72"/>
      <c r="I695" s="73"/>
      <c r="J695" s="58"/>
      <c r="K695" s="58"/>
      <c r="L695" s="58"/>
      <c r="O695" s="69"/>
      <c r="P695" s="60">
        <v>137</v>
      </c>
      <c r="Q695" s="85">
        <v>13</v>
      </c>
      <c r="R695" s="70"/>
      <c r="S695" s="70"/>
      <c r="T695" s="70"/>
      <c r="U695" s="72"/>
      <c r="V695" s="73"/>
      <c r="W695" s="86"/>
      <c r="X695" s="77"/>
      <c r="Y695" s="87"/>
      <c r="AB695" s="69"/>
      <c r="AC695" s="70"/>
      <c r="AD695" s="71"/>
      <c r="AE695" s="70"/>
      <c r="AF695" s="70"/>
      <c r="AG695" s="70"/>
      <c r="AH695" s="72"/>
      <c r="AI695" s="73"/>
      <c r="AJ695" s="94" t="s">
        <v>52</v>
      </c>
      <c r="AK695" s="95" t="s">
        <v>27</v>
      </c>
      <c r="AL695" s="95" t="s">
        <v>43</v>
      </c>
      <c r="AO695" s="59"/>
      <c r="AP695" s="60"/>
      <c r="AQ695" s="61"/>
      <c r="AR695" s="62">
        <v>359</v>
      </c>
      <c r="AS695" s="61"/>
      <c r="AT695" s="61"/>
      <c r="AU695" s="75"/>
      <c r="AV695" s="84"/>
      <c r="AW695" s="92" t="s">
        <v>47</v>
      </c>
      <c r="AX695" s="93" t="s">
        <v>51</v>
      </c>
      <c r="AY695" s="93" t="s">
        <v>65</v>
      </c>
    </row>
    <row r="696" spans="2:51">
      <c r="B696" s="59"/>
      <c r="C696" s="60">
        <v>680</v>
      </c>
      <c r="D696" s="61">
        <v>100</v>
      </c>
      <c r="E696" s="62"/>
      <c r="F696" s="61"/>
      <c r="G696" s="61"/>
      <c r="H696" s="75"/>
      <c r="I696" s="76"/>
      <c r="O696" s="59"/>
      <c r="P696" s="60">
        <v>339</v>
      </c>
      <c r="Q696" s="61">
        <v>5</v>
      </c>
      <c r="R696" s="62"/>
      <c r="S696" s="61"/>
      <c r="T696" s="61"/>
      <c r="U696" s="75"/>
      <c r="V696" s="76"/>
      <c r="W696" s="77"/>
      <c r="X696" s="58"/>
      <c r="Y696" s="58"/>
      <c r="AB696" s="59"/>
      <c r="AC696" s="60"/>
      <c r="AD696" s="61"/>
      <c r="AE696" s="62"/>
      <c r="AF696" s="61"/>
      <c r="AG696" s="61"/>
      <c r="AH696" s="75"/>
      <c r="AI696" s="76"/>
      <c r="AJ696" s="77"/>
      <c r="AK696" s="77"/>
      <c r="AL696" s="87"/>
      <c r="AO696" s="69"/>
      <c r="AP696" s="70"/>
      <c r="AQ696" s="85"/>
      <c r="AR696" s="70">
        <v>798</v>
      </c>
      <c r="AS696" s="70">
        <v>79.8</v>
      </c>
      <c r="AT696" s="70"/>
      <c r="AU696" s="72"/>
      <c r="AV696" s="73"/>
      <c r="AW696" s="94" t="s">
        <v>52</v>
      </c>
      <c r="AX696" s="95" t="s">
        <v>27</v>
      </c>
      <c r="AY696" s="95" t="s">
        <v>43</v>
      </c>
    </row>
    <row r="697" ht="15.75" spans="2:51">
      <c r="B697" s="69"/>
      <c r="C697" s="112"/>
      <c r="D697" s="71"/>
      <c r="E697" s="58">
        <v>856</v>
      </c>
      <c r="F697" s="70">
        <v>128.4</v>
      </c>
      <c r="G697" s="70"/>
      <c r="H697" s="72"/>
      <c r="I697" s="73"/>
      <c r="O697" s="69"/>
      <c r="P697" s="70"/>
      <c r="Q697" s="71"/>
      <c r="R697" s="70">
        <v>1010</v>
      </c>
      <c r="S697" s="70">
        <v>101</v>
      </c>
      <c r="T697" s="70"/>
      <c r="U697" s="72"/>
      <c r="V697" s="73"/>
      <c r="W697" s="77"/>
      <c r="X697" s="58"/>
      <c r="Y697" s="58"/>
      <c r="AB697" s="96"/>
      <c r="AC697" s="97"/>
      <c r="AD697" s="98"/>
      <c r="AE697" s="99"/>
      <c r="AF697" s="98"/>
      <c r="AG697" s="98"/>
      <c r="AH697" s="72"/>
      <c r="AI697" s="73"/>
      <c r="AO697" s="59"/>
      <c r="AP697" s="60"/>
      <c r="AQ697" s="61">
        <v>13</v>
      </c>
      <c r="AR697" s="62">
        <v>396</v>
      </c>
      <c r="AS697" s="61"/>
      <c r="AT697" s="61"/>
      <c r="AU697" s="75"/>
      <c r="AV697" s="84"/>
      <c r="AW697" s="77"/>
      <c r="AX697" s="77"/>
      <c r="AY697" s="87"/>
    </row>
    <row r="698" ht="23" customHeight="1" spans="2:51">
      <c r="B698" s="59"/>
      <c r="C698" s="60">
        <v>235</v>
      </c>
      <c r="D698" s="61">
        <v>27</v>
      </c>
      <c r="E698" s="62"/>
      <c r="F698" s="61"/>
      <c r="G698" s="61"/>
      <c r="H698" s="75"/>
      <c r="I698" s="76"/>
      <c r="O698" s="59"/>
      <c r="P698" s="60">
        <v>30</v>
      </c>
      <c r="Q698" s="88"/>
      <c r="R698" s="62"/>
      <c r="S698" s="61"/>
      <c r="T698" s="61"/>
      <c r="U698" s="75"/>
      <c r="V698" s="76"/>
      <c r="W698" s="77"/>
      <c r="X698" s="58"/>
      <c r="Y698" s="58"/>
      <c r="AB698" s="102">
        <f t="shared" ref="AB698:AG698" si="119">SUM(AB684:AB697)</f>
        <v>3929</v>
      </c>
      <c r="AC698" s="103">
        <f t="shared" si="119"/>
        <v>872</v>
      </c>
      <c r="AD698" s="104">
        <f t="shared" si="119"/>
        <v>60</v>
      </c>
      <c r="AE698" s="105">
        <f t="shared" si="119"/>
        <v>2068</v>
      </c>
      <c r="AF698" s="106">
        <f t="shared" si="119"/>
        <v>276.3</v>
      </c>
      <c r="AG698" s="107">
        <f t="shared" si="119"/>
        <v>3425</v>
      </c>
      <c r="AH698" s="108" t="s">
        <v>54</v>
      </c>
      <c r="AI698" s="109"/>
      <c r="AO698" s="69"/>
      <c r="AP698" s="70"/>
      <c r="AQ698" s="85"/>
      <c r="AR698" s="70">
        <v>1222</v>
      </c>
      <c r="AS698" s="70"/>
      <c r="AT698" s="70"/>
      <c r="AU698" s="72"/>
      <c r="AV698" s="73"/>
      <c r="AW698" s="58"/>
      <c r="AX698" s="58"/>
      <c r="AY698" s="58"/>
    </row>
    <row r="699" spans="2:51">
      <c r="B699" s="96"/>
      <c r="C699" s="97"/>
      <c r="D699" s="98"/>
      <c r="E699" s="99"/>
      <c r="F699" s="98"/>
      <c r="G699" s="98"/>
      <c r="H699" s="72"/>
      <c r="I699" s="73"/>
      <c r="O699" s="69"/>
      <c r="P699" s="70"/>
      <c r="Q699" s="71"/>
      <c r="R699" s="70"/>
      <c r="S699" s="70"/>
      <c r="T699" s="70"/>
      <c r="U699" s="72"/>
      <c r="V699" s="73"/>
      <c r="W699" s="89" t="s">
        <v>44</v>
      </c>
      <c r="X699" s="90" t="s">
        <v>45</v>
      </c>
      <c r="Y699" s="90" t="s">
        <v>46</v>
      </c>
      <c r="AO699" s="59"/>
      <c r="AP699" s="60">
        <v>170</v>
      </c>
      <c r="AQ699" s="61">
        <v>15</v>
      </c>
      <c r="AR699" s="62"/>
      <c r="AS699" s="61"/>
      <c r="AT699" s="61"/>
      <c r="AU699" s="75"/>
      <c r="AV699" s="84"/>
      <c r="AW699" s="58"/>
      <c r="AX699" s="58"/>
      <c r="AY699" s="58"/>
    </row>
    <row r="700" ht="15.75" spans="2:51">
      <c r="B700" s="59"/>
      <c r="C700" s="60"/>
      <c r="D700" s="61"/>
      <c r="E700" s="62"/>
      <c r="F700" s="61"/>
      <c r="G700" s="61"/>
      <c r="H700" s="75"/>
      <c r="I700" s="76"/>
      <c r="O700" s="59"/>
      <c r="P700" s="60"/>
      <c r="Q700" s="61"/>
      <c r="R700" s="62"/>
      <c r="S700" s="61"/>
      <c r="T700" s="61"/>
      <c r="U700" s="75"/>
      <c r="V700" s="76"/>
      <c r="W700" s="92" t="s">
        <v>47</v>
      </c>
      <c r="X700" s="93" t="s">
        <v>48</v>
      </c>
      <c r="Y700" s="93" t="s">
        <v>154</v>
      </c>
      <c r="AO700" s="69"/>
      <c r="AP700" s="70">
        <v>488</v>
      </c>
      <c r="AQ700" s="85">
        <v>70</v>
      </c>
      <c r="AR700" s="70"/>
      <c r="AS700" s="70"/>
      <c r="AT700" s="70"/>
      <c r="AU700" s="72"/>
      <c r="AV700" s="73"/>
      <c r="AW700" s="58"/>
      <c r="AX700" s="58"/>
      <c r="AY700" s="58"/>
    </row>
    <row r="701" spans="2:51">
      <c r="B701" s="59"/>
      <c r="C701" s="60"/>
      <c r="D701" s="61"/>
      <c r="E701" s="62"/>
      <c r="F701" s="61"/>
      <c r="G701" s="61"/>
      <c r="H701" s="75"/>
      <c r="I701" s="76"/>
      <c r="O701" s="69"/>
      <c r="P701" s="70"/>
      <c r="Q701" s="71"/>
      <c r="R701" s="70"/>
      <c r="S701" s="70"/>
      <c r="T701" s="70"/>
      <c r="U701" s="72"/>
      <c r="V701" s="73"/>
      <c r="W701" s="94" t="s">
        <v>52</v>
      </c>
      <c r="X701" s="95"/>
      <c r="Y701" s="95"/>
      <c r="AB701" s="33" t="s">
        <v>334</v>
      </c>
      <c r="AC701" s="34"/>
      <c r="AD701" s="34"/>
      <c r="AE701" s="34"/>
      <c r="AF701" s="34"/>
      <c r="AG701" s="34"/>
      <c r="AH701" s="34"/>
      <c r="AI701" s="34"/>
      <c r="AJ701" s="34"/>
      <c r="AK701" s="34"/>
      <c r="AL701" s="35"/>
      <c r="AO701" s="59"/>
      <c r="AP701" s="60"/>
      <c r="AQ701" s="61"/>
      <c r="AR701" s="62"/>
      <c r="AS701" s="61"/>
      <c r="AT701" s="61"/>
      <c r="AU701" s="75"/>
      <c r="AV701" s="84"/>
      <c r="AW701" s="58"/>
      <c r="AX701" s="58"/>
      <c r="AY701" s="58"/>
    </row>
    <row r="702" ht="15.75" spans="2:51">
      <c r="B702" s="69"/>
      <c r="C702" s="112"/>
      <c r="D702" s="71"/>
      <c r="E702" s="58"/>
      <c r="F702" s="70"/>
      <c r="G702" s="70"/>
      <c r="H702" s="72"/>
      <c r="I702" s="73"/>
      <c r="O702" s="59"/>
      <c r="P702" s="60"/>
      <c r="Q702" s="61"/>
      <c r="R702" s="62"/>
      <c r="S702" s="61"/>
      <c r="T702" s="61"/>
      <c r="U702" s="75"/>
      <c r="V702" s="76"/>
      <c r="W702" s="77"/>
      <c r="X702" s="77"/>
      <c r="Y702" s="87"/>
      <c r="AB702" s="36"/>
      <c r="AC702" s="37"/>
      <c r="AD702" s="37"/>
      <c r="AE702" s="37"/>
      <c r="AF702" s="37"/>
      <c r="AG702" s="37"/>
      <c r="AH702" s="37"/>
      <c r="AI702" s="37"/>
      <c r="AJ702" s="37"/>
      <c r="AK702" s="37"/>
      <c r="AL702" s="38"/>
      <c r="AO702" s="69"/>
      <c r="AP702" s="70"/>
      <c r="AQ702" s="85"/>
      <c r="AR702" s="70"/>
      <c r="AS702" s="70"/>
      <c r="AT702" s="70"/>
      <c r="AU702" s="72"/>
      <c r="AV702" s="73"/>
      <c r="AW702" s="58"/>
      <c r="AX702" s="58"/>
      <c r="AY702" s="58"/>
    </row>
    <row r="703" ht="15.75" spans="2:51">
      <c r="B703" s="102">
        <f t="shared" ref="B703:G703" si="120">SUM(B678:B702)</f>
        <v>602</v>
      </c>
      <c r="C703" s="103">
        <f t="shared" si="120"/>
        <v>2536</v>
      </c>
      <c r="D703" s="104">
        <f t="shared" si="120"/>
        <v>471</v>
      </c>
      <c r="E703" s="105">
        <f t="shared" si="120"/>
        <v>7716</v>
      </c>
      <c r="F703" s="106">
        <f t="shared" si="120"/>
        <v>410.95</v>
      </c>
      <c r="G703" s="107">
        <f t="shared" si="120"/>
        <v>515</v>
      </c>
      <c r="H703" s="108" t="s">
        <v>54</v>
      </c>
      <c r="I703" s="109"/>
      <c r="O703" s="69"/>
      <c r="P703" s="70"/>
      <c r="Q703" s="71"/>
      <c r="R703" s="70"/>
      <c r="S703" s="70"/>
      <c r="T703" s="70"/>
      <c r="U703" s="72"/>
      <c r="V703" s="73"/>
      <c r="W703" s="58"/>
      <c r="X703" s="58"/>
      <c r="Y703" s="58"/>
      <c r="AB703" s="39" t="s">
        <v>12</v>
      </c>
      <c r="AC703" s="40" t="s">
        <v>13</v>
      </c>
      <c r="AD703" s="41"/>
      <c r="AE703" s="42" t="s">
        <v>14</v>
      </c>
      <c r="AF703" s="43"/>
      <c r="AG703" s="44" t="s">
        <v>15</v>
      </c>
      <c r="AH703" s="45"/>
      <c r="AI703" s="46"/>
      <c r="AJ703" s="47" t="s">
        <v>16</v>
      </c>
      <c r="AK703" s="48"/>
      <c r="AL703" s="49">
        <f>AC733+AE733</f>
        <v>7703</v>
      </c>
      <c r="AO703" s="59"/>
      <c r="AP703" s="60"/>
      <c r="AQ703" s="61"/>
      <c r="AR703" s="62"/>
      <c r="AS703" s="61"/>
      <c r="AT703" s="61"/>
      <c r="AU703" s="75"/>
      <c r="AV703" s="76"/>
    </row>
    <row r="704" ht="15.75" spans="2:51">
      <c r="O704" s="96"/>
      <c r="P704" s="97"/>
      <c r="Q704" s="98"/>
      <c r="R704" s="99"/>
      <c r="S704" s="98"/>
      <c r="T704" s="98"/>
      <c r="U704" s="100"/>
      <c r="V704" s="101"/>
      <c r="AB704" s="50"/>
      <c r="AC704" s="51" t="s">
        <v>17</v>
      </c>
      <c r="AD704" s="51" t="s">
        <v>18</v>
      </c>
      <c r="AE704" s="52" t="s">
        <v>17</v>
      </c>
      <c r="AF704" s="52" t="s">
        <v>18</v>
      </c>
      <c r="AG704" s="53"/>
      <c r="AH704" s="54"/>
      <c r="AI704" s="55"/>
      <c r="AJ704" s="56" t="s">
        <v>19</v>
      </c>
      <c r="AK704" s="57"/>
      <c r="AL704" s="49">
        <f>AD733+AF733</f>
        <v>556.7</v>
      </c>
      <c r="AO704" s="96"/>
      <c r="AP704" s="97"/>
      <c r="AQ704" s="98"/>
      <c r="AR704" s="99"/>
      <c r="AS704" s="98"/>
      <c r="AT704" s="98"/>
      <c r="AU704" s="72"/>
      <c r="AV704" s="73"/>
    </row>
    <row r="705" ht="15.75" spans="2:51">
      <c r="O705" s="102">
        <f t="shared" ref="O705:T705" si="121">SUM(O690:O704)</f>
        <v>3970</v>
      </c>
      <c r="P705" s="103">
        <f t="shared" si="121"/>
        <v>736</v>
      </c>
      <c r="Q705" s="104">
        <f t="shared" si="121"/>
        <v>58</v>
      </c>
      <c r="R705" s="105">
        <f t="shared" si="121"/>
        <v>2468</v>
      </c>
      <c r="S705" s="106">
        <f t="shared" si="121"/>
        <v>261.5</v>
      </c>
      <c r="T705" s="107">
        <f t="shared" si="121"/>
        <v>25</v>
      </c>
      <c r="U705" s="108" t="s">
        <v>54</v>
      </c>
      <c r="V705" s="109"/>
      <c r="AB705" s="59">
        <v>1437</v>
      </c>
      <c r="AC705" s="68">
        <v>116</v>
      </c>
      <c r="AD705" s="61"/>
      <c r="AE705" s="62"/>
      <c r="AF705" s="61"/>
      <c r="AG705" s="61">
        <v>106</v>
      </c>
      <c r="AH705" s="63" t="s">
        <v>57</v>
      </c>
      <c r="AI705" s="64"/>
      <c r="AJ705" s="65" t="s">
        <v>21</v>
      </c>
      <c r="AK705" s="66"/>
      <c r="AL705" s="67">
        <f>AG733</f>
        <v>1537</v>
      </c>
      <c r="AO705" s="59"/>
      <c r="AP705" s="60"/>
      <c r="AQ705" s="61"/>
      <c r="AR705" s="62"/>
      <c r="AS705" s="61"/>
      <c r="AT705" s="61"/>
      <c r="AU705" s="75"/>
      <c r="AV705" s="76"/>
    </row>
    <row r="706" ht="15.75" spans="2:51">
      <c r="B706" s="33" t="s">
        <v>335</v>
      </c>
      <c r="C706" s="34"/>
      <c r="D706" s="34"/>
      <c r="E706" s="34"/>
      <c r="F706" s="34"/>
      <c r="G706" s="34"/>
      <c r="H706" s="34"/>
      <c r="I706" s="34"/>
      <c r="J706" s="34"/>
      <c r="K706" s="34"/>
      <c r="L706" s="35"/>
      <c r="AB706" s="69"/>
      <c r="AC706" s="70"/>
      <c r="AD706" s="71">
        <v>20</v>
      </c>
      <c r="AE706" s="70">
        <v>556</v>
      </c>
      <c r="AF706" s="70"/>
      <c r="AG706" s="70">
        <v>30</v>
      </c>
      <c r="AH706" s="72" t="s">
        <v>29</v>
      </c>
      <c r="AI706" s="73"/>
      <c r="AJ706" s="74" t="s">
        <v>26</v>
      </c>
      <c r="AK706" s="57"/>
      <c r="AL706" s="49">
        <f>AB733+AL703+AL704-AL705-AE733-AF733</f>
        <v>4022</v>
      </c>
      <c r="AO706" s="96"/>
      <c r="AP706" s="97"/>
      <c r="AQ706" s="98"/>
      <c r="AR706" s="99"/>
      <c r="AS706" s="98"/>
      <c r="AT706" s="98"/>
      <c r="AU706" s="72"/>
      <c r="AV706" s="73"/>
    </row>
    <row r="707" ht="15.75" spans="2:51">
      <c r="B707" s="36"/>
      <c r="C707" s="37"/>
      <c r="D707" s="37"/>
      <c r="E707" s="37"/>
      <c r="F707" s="37"/>
      <c r="G707" s="37"/>
      <c r="H707" s="37"/>
      <c r="I707" s="37"/>
      <c r="J707" s="37"/>
      <c r="K707" s="37"/>
      <c r="L707" s="38"/>
      <c r="AB707" s="59"/>
      <c r="AC707" s="60"/>
      <c r="AD707" s="61"/>
      <c r="AE707" s="62">
        <v>258</v>
      </c>
      <c r="AF707" s="61">
        <v>25.8</v>
      </c>
      <c r="AG707" s="61">
        <v>1401</v>
      </c>
      <c r="AH707" s="75" t="s">
        <v>184</v>
      </c>
      <c r="AI707" s="76"/>
      <c r="AJ707" s="77"/>
      <c r="AK707" s="78" t="s">
        <v>30</v>
      </c>
      <c r="AL707" s="79">
        <f>AL704/4</f>
        <v>139.175</v>
      </c>
      <c r="AO707" s="102">
        <f t="shared" ref="AO707:AT707" si="122">SUM(AO685:AO706)</f>
        <v>1548</v>
      </c>
      <c r="AP707" s="103">
        <f t="shared" si="122"/>
        <v>2511</v>
      </c>
      <c r="AQ707" s="104">
        <f t="shared" si="122"/>
        <v>232</v>
      </c>
      <c r="AR707" s="105">
        <f t="shared" si="122"/>
        <v>4193</v>
      </c>
      <c r="AS707" s="106">
        <f t="shared" si="122"/>
        <v>299.5</v>
      </c>
      <c r="AT707" s="107">
        <f t="shared" si="122"/>
        <v>1799</v>
      </c>
      <c r="AU707" s="108" t="s">
        <v>54</v>
      </c>
      <c r="AV707" s="109"/>
    </row>
    <row r="708" ht="14" customHeight="1" spans="2:51">
      <c r="B708" s="39" t="s">
        <v>12</v>
      </c>
      <c r="C708" s="40" t="s">
        <v>13</v>
      </c>
      <c r="D708" s="41"/>
      <c r="E708" s="42" t="s">
        <v>14</v>
      </c>
      <c r="F708" s="43"/>
      <c r="G708" s="44" t="s">
        <v>15</v>
      </c>
      <c r="H708" s="45"/>
      <c r="I708" s="46"/>
      <c r="J708" s="47" t="s">
        <v>16</v>
      </c>
      <c r="K708" s="48"/>
      <c r="L708" s="49">
        <f>C735+E735</f>
        <v>8223</v>
      </c>
      <c r="O708" s="33" t="s">
        <v>336</v>
      </c>
      <c r="P708" s="34"/>
      <c r="Q708" s="34"/>
      <c r="R708" s="34"/>
      <c r="S708" s="34"/>
      <c r="T708" s="34"/>
      <c r="U708" s="34"/>
      <c r="V708" s="34"/>
      <c r="W708" s="34"/>
      <c r="X708" s="34"/>
      <c r="Y708" s="35"/>
      <c r="AB708" s="69"/>
      <c r="AC708" s="70">
        <v>94</v>
      </c>
      <c r="AD708" s="71"/>
      <c r="AE708" s="70"/>
      <c r="AF708" s="70"/>
      <c r="AG708" s="70"/>
      <c r="AH708" s="72"/>
      <c r="AI708" s="73"/>
      <c r="AJ708" s="77"/>
      <c r="AK708" s="80" t="s">
        <v>34</v>
      </c>
      <c r="AL708" s="81">
        <f>AL704/6</f>
        <v>92.7833333333333</v>
      </c>
    </row>
    <row r="709" ht="16" customHeight="1" spans="2:51">
      <c r="B709" s="50"/>
      <c r="C709" s="51" t="s">
        <v>17</v>
      </c>
      <c r="D709" s="51" t="s">
        <v>18</v>
      </c>
      <c r="E709" s="52" t="s">
        <v>17</v>
      </c>
      <c r="F709" s="52" t="s">
        <v>18</v>
      </c>
      <c r="G709" s="53"/>
      <c r="H709" s="54"/>
      <c r="I709" s="55"/>
      <c r="J709" s="56" t="s">
        <v>19</v>
      </c>
      <c r="K709" s="57"/>
      <c r="L709" s="49">
        <f>D735+F735</f>
        <v>722</v>
      </c>
      <c r="O709" s="36"/>
      <c r="P709" s="37"/>
      <c r="Q709" s="37"/>
      <c r="R709" s="37"/>
      <c r="S709" s="37"/>
      <c r="T709" s="37"/>
      <c r="U709" s="37"/>
      <c r="V709" s="37"/>
      <c r="W709" s="37"/>
      <c r="X709" s="37"/>
      <c r="Y709" s="38"/>
      <c r="AB709" s="59"/>
      <c r="AC709" s="60">
        <v>356</v>
      </c>
      <c r="AD709" s="61"/>
      <c r="AE709" s="62"/>
      <c r="AF709" s="61"/>
      <c r="AG709" s="61"/>
      <c r="AH709" s="75"/>
      <c r="AI709" s="84"/>
      <c r="AJ709" s="77"/>
      <c r="AK709" s="82" t="s">
        <v>37</v>
      </c>
      <c r="AL709" s="83">
        <f>AL704/8</f>
        <v>69.5875</v>
      </c>
      <c r="AO709" s="33" t="s">
        <v>337</v>
      </c>
      <c r="AP709" s="34"/>
      <c r="AQ709" s="34"/>
      <c r="AR709" s="34"/>
      <c r="AS709" s="34"/>
      <c r="AT709" s="34"/>
      <c r="AU709" s="34"/>
      <c r="AV709" s="34"/>
      <c r="AW709" s="34"/>
      <c r="AX709" s="34"/>
      <c r="AY709" s="35"/>
    </row>
    <row r="710" ht="15.75" spans="2:51">
      <c r="B710" s="59">
        <v>3094</v>
      </c>
      <c r="C710" s="60"/>
      <c r="D710" s="61"/>
      <c r="E710" s="62">
        <v>280</v>
      </c>
      <c r="F710" s="61">
        <v>14</v>
      </c>
      <c r="G710" s="61">
        <v>174</v>
      </c>
      <c r="H710" s="63" t="s">
        <v>170</v>
      </c>
      <c r="I710" s="64"/>
      <c r="J710" s="65" t="s">
        <v>21</v>
      </c>
      <c r="K710" s="66"/>
      <c r="L710" s="67">
        <f>G735</f>
        <v>3234</v>
      </c>
      <c r="O710" s="39" t="s">
        <v>12</v>
      </c>
      <c r="P710" s="40" t="s">
        <v>13</v>
      </c>
      <c r="Q710" s="41"/>
      <c r="R710" s="42" t="s">
        <v>14</v>
      </c>
      <c r="S710" s="43"/>
      <c r="T710" s="44" t="s">
        <v>15</v>
      </c>
      <c r="U710" s="45"/>
      <c r="V710" s="46"/>
      <c r="W710" s="47" t="s">
        <v>16</v>
      </c>
      <c r="X710" s="48"/>
      <c r="Y710" s="49">
        <f>P730+R730</f>
        <v>6674</v>
      </c>
      <c r="AB710" s="69"/>
      <c r="AC710" s="70">
        <v>846</v>
      </c>
      <c r="AD710" s="85">
        <v>54</v>
      </c>
      <c r="AE710" s="70"/>
      <c r="AF710" s="70"/>
      <c r="AG710" s="70"/>
      <c r="AH710" s="72"/>
      <c r="AI710" s="73"/>
      <c r="AJ710" s="86"/>
      <c r="AK710" s="77"/>
      <c r="AL710" s="87"/>
      <c r="AO710" s="36"/>
      <c r="AP710" s="37"/>
      <c r="AQ710" s="37"/>
      <c r="AR710" s="37"/>
      <c r="AS710" s="37"/>
      <c r="AT710" s="37"/>
      <c r="AU710" s="37"/>
      <c r="AV710" s="37"/>
      <c r="AW710" s="37"/>
      <c r="AX710" s="37"/>
      <c r="AY710" s="38"/>
    </row>
    <row r="711" ht="20" customHeight="1" spans="2:51">
      <c r="B711" s="69"/>
      <c r="C711" s="70"/>
      <c r="D711" s="71"/>
      <c r="E711" s="70">
        <v>205</v>
      </c>
      <c r="F711" s="70">
        <v>20.5</v>
      </c>
      <c r="G711" s="70">
        <v>2526</v>
      </c>
      <c r="H711" s="72" t="s">
        <v>105</v>
      </c>
      <c r="I711" s="73"/>
      <c r="J711" s="74" t="s">
        <v>26</v>
      </c>
      <c r="K711" s="57"/>
      <c r="L711" s="49">
        <f>B735+L708+L709-L710-E735-F735</f>
        <v>1349</v>
      </c>
      <c r="O711" s="50"/>
      <c r="P711" s="51" t="s">
        <v>17</v>
      </c>
      <c r="Q711" s="51" t="s">
        <v>18</v>
      </c>
      <c r="R711" s="52" t="s">
        <v>17</v>
      </c>
      <c r="S711" s="52" t="s">
        <v>18</v>
      </c>
      <c r="T711" s="53"/>
      <c r="U711" s="54"/>
      <c r="V711" s="55"/>
      <c r="W711" s="56" t="s">
        <v>19</v>
      </c>
      <c r="X711" s="57"/>
      <c r="Y711" s="49">
        <f>Q730+S730</f>
        <v>754.5</v>
      </c>
      <c r="AB711" s="59"/>
      <c r="AC711" s="60"/>
      <c r="AD711" s="61"/>
      <c r="AE711" s="62">
        <v>137</v>
      </c>
      <c r="AF711" s="61"/>
      <c r="AG711" s="61"/>
      <c r="AH711" s="75"/>
      <c r="AI711" s="76"/>
      <c r="AJ711" s="77"/>
      <c r="AK711" s="58"/>
      <c r="AL711" s="58"/>
      <c r="AO711" s="39" t="s">
        <v>12</v>
      </c>
      <c r="AP711" s="40" t="s">
        <v>13</v>
      </c>
      <c r="AQ711" s="41"/>
      <c r="AR711" s="42" t="s">
        <v>14</v>
      </c>
      <c r="AS711" s="43"/>
      <c r="AT711" s="44" t="s">
        <v>15</v>
      </c>
      <c r="AU711" s="45"/>
      <c r="AV711" s="46"/>
      <c r="AW711" s="47" t="s">
        <v>16</v>
      </c>
      <c r="AX711" s="48"/>
      <c r="AY711" s="49">
        <f>AP735+AR735</f>
        <v>4231</v>
      </c>
    </row>
    <row r="712" ht="15.75" spans="2:51">
      <c r="B712" s="59"/>
      <c r="C712" s="60">
        <v>108</v>
      </c>
      <c r="D712" s="61">
        <v>12</v>
      </c>
      <c r="E712" s="62"/>
      <c r="F712" s="61"/>
      <c r="G712" s="61">
        <v>30</v>
      </c>
      <c r="H712" s="75" t="s">
        <v>29</v>
      </c>
      <c r="I712" s="76"/>
      <c r="J712" s="77"/>
      <c r="K712" s="78" t="s">
        <v>30</v>
      </c>
      <c r="L712" s="79">
        <f>L709/4</f>
        <v>180.5</v>
      </c>
      <c r="O712" s="59">
        <v>2671</v>
      </c>
      <c r="P712">
        <v>294</v>
      </c>
      <c r="Q712" s="61">
        <v>54</v>
      </c>
      <c r="R712" s="60"/>
      <c r="S712" s="61"/>
      <c r="T712" s="61">
        <v>2507</v>
      </c>
      <c r="U712" s="63" t="s">
        <v>48</v>
      </c>
      <c r="V712" s="64"/>
      <c r="W712" s="65" t="s">
        <v>21</v>
      </c>
      <c r="X712" s="66"/>
      <c r="Y712" s="67">
        <f>T730</f>
        <v>4666</v>
      </c>
      <c r="AB712" s="69"/>
      <c r="AC712" s="70">
        <v>15</v>
      </c>
      <c r="AD712" s="71"/>
      <c r="AE712" s="70"/>
      <c r="AF712" s="70"/>
      <c r="AG712" s="70"/>
      <c r="AH712" s="72"/>
      <c r="AI712" s="73"/>
      <c r="AJ712" s="77"/>
      <c r="AK712" s="58"/>
      <c r="AL712" s="58"/>
      <c r="AO712" s="50"/>
      <c r="AP712" s="51" t="s">
        <v>17</v>
      </c>
      <c r="AQ712" s="51" t="s">
        <v>18</v>
      </c>
      <c r="AR712" s="52" t="s">
        <v>17</v>
      </c>
      <c r="AS712" s="52" t="s">
        <v>18</v>
      </c>
      <c r="AT712" s="53"/>
      <c r="AU712" s="54"/>
      <c r="AV712" s="55"/>
      <c r="AW712" s="56" t="s">
        <v>19</v>
      </c>
      <c r="AX712" s="57"/>
      <c r="AY712" s="49">
        <f>AQ735+AS735</f>
        <v>472.1</v>
      </c>
    </row>
    <row r="713" ht="20" customHeight="1" spans="2:51">
      <c r="B713" s="69"/>
      <c r="C713" s="70">
        <v>379</v>
      </c>
      <c r="D713" s="71">
        <v>5</v>
      </c>
      <c r="E713" s="70">
        <v>320</v>
      </c>
      <c r="F713" s="70">
        <v>10</v>
      </c>
      <c r="G713" s="70">
        <v>355</v>
      </c>
      <c r="H713" s="72" t="s">
        <v>59</v>
      </c>
      <c r="I713" s="73"/>
      <c r="J713" s="77"/>
      <c r="K713" s="80" t="s">
        <v>34</v>
      </c>
      <c r="L713" s="81">
        <f>L709/6</f>
        <v>120.333333333333</v>
      </c>
      <c r="O713" s="69">
        <v>140</v>
      </c>
      <c r="P713" s="70">
        <v>503</v>
      </c>
      <c r="Q713" s="71">
        <v>47</v>
      </c>
      <c r="R713" s="70"/>
      <c r="S713" s="71"/>
      <c r="T713" s="70">
        <v>46</v>
      </c>
      <c r="U713" s="72" t="s">
        <v>338</v>
      </c>
      <c r="V713" s="73"/>
      <c r="W713" s="74" t="s">
        <v>26</v>
      </c>
      <c r="X713" s="57"/>
      <c r="Y713" s="49">
        <f>O730+Y710+Y711-Y712-R730-S730</f>
        <v>1237</v>
      </c>
      <c r="AB713" s="59"/>
      <c r="AC713" s="60">
        <v>448</v>
      </c>
      <c r="AD713" s="88">
        <v>52</v>
      </c>
      <c r="AE713" s="62"/>
      <c r="AF713" s="61"/>
      <c r="AG713" s="61"/>
      <c r="AH713" s="75"/>
      <c r="AI713" s="76"/>
      <c r="AJ713" s="77"/>
      <c r="AK713" s="58"/>
      <c r="AL713" s="58"/>
      <c r="AO713" s="59">
        <v>2492</v>
      </c>
      <c r="AP713" s="68">
        <v>258</v>
      </c>
      <c r="AQ713" s="61">
        <v>22</v>
      </c>
      <c r="AR713" s="62"/>
      <c r="AS713" s="61"/>
      <c r="AT713" s="61">
        <v>2000</v>
      </c>
      <c r="AU713" s="63" t="s">
        <v>150</v>
      </c>
      <c r="AV713" s="64"/>
      <c r="AW713" s="65" t="s">
        <v>21</v>
      </c>
      <c r="AX713" s="66"/>
      <c r="AY713" s="67">
        <f>AT735</f>
        <v>2125</v>
      </c>
    </row>
    <row r="714" ht="19" customHeight="1" spans="2:51">
      <c r="B714" s="59"/>
      <c r="C714" s="60"/>
      <c r="D714" s="61"/>
      <c r="E714" s="62">
        <v>550</v>
      </c>
      <c r="F714" s="61">
        <v>55</v>
      </c>
      <c r="G714" s="61">
        <v>149</v>
      </c>
      <c r="H714" s="75" t="s">
        <v>339</v>
      </c>
      <c r="I714" s="76"/>
      <c r="J714" s="77"/>
      <c r="K714" s="82" t="s">
        <v>37</v>
      </c>
      <c r="L714" s="83">
        <f>L709/8</f>
        <v>90.25</v>
      </c>
      <c r="O714" s="59">
        <v>500</v>
      </c>
      <c r="P714" s="60"/>
      <c r="Q714" s="60"/>
      <c r="R714" s="60">
        <v>176</v>
      </c>
      <c r="S714">
        <v>0</v>
      </c>
      <c r="T714" s="61">
        <v>2113</v>
      </c>
      <c r="U714" s="75" t="s">
        <v>27</v>
      </c>
      <c r="V714" s="76"/>
      <c r="W714" s="77"/>
      <c r="X714" s="78" t="s">
        <v>30</v>
      </c>
      <c r="Y714" s="79">
        <f>Y711/4</f>
        <v>188.625</v>
      </c>
      <c r="AB714" s="69"/>
      <c r="AC714" s="70">
        <v>100</v>
      </c>
      <c r="AD714" s="71"/>
      <c r="AE714" s="70"/>
      <c r="AF714" s="70"/>
      <c r="AG714" s="70"/>
      <c r="AH714" s="72"/>
      <c r="AI714" s="73"/>
      <c r="AJ714" s="89" t="s">
        <v>44</v>
      </c>
      <c r="AK714" s="90" t="s">
        <v>45</v>
      </c>
      <c r="AL714" s="90" t="s">
        <v>46</v>
      </c>
      <c r="AO714" s="69"/>
      <c r="AP714" s="70"/>
      <c r="AQ714" s="71"/>
      <c r="AR714" s="70">
        <v>137</v>
      </c>
      <c r="AS714" s="70">
        <v>13.7</v>
      </c>
      <c r="AT714" s="70">
        <v>25</v>
      </c>
      <c r="AU714" s="72" t="s">
        <v>29</v>
      </c>
      <c r="AV714" s="73"/>
      <c r="AW714" s="74" t="s">
        <v>26</v>
      </c>
      <c r="AX714" s="57"/>
      <c r="AY714" s="49">
        <f>AO735+AY711+AY712-AY713-AR735-AS735</f>
        <v>2572</v>
      </c>
    </row>
    <row r="715" spans="2:51">
      <c r="B715" s="69"/>
      <c r="C715" s="70"/>
      <c r="D715" s="85"/>
      <c r="E715" s="70">
        <v>265</v>
      </c>
      <c r="F715" s="70">
        <v>26.5</v>
      </c>
      <c r="G715" s="70"/>
      <c r="H715" s="72"/>
      <c r="I715" s="73"/>
      <c r="J715" s="86"/>
      <c r="K715" s="77"/>
      <c r="L715" s="87"/>
      <c r="O715" s="69"/>
      <c r="P715" s="70"/>
      <c r="Q715" s="71"/>
      <c r="R715" s="70">
        <v>426</v>
      </c>
      <c r="S715" s="61"/>
      <c r="T715" s="70"/>
      <c r="U715" s="72"/>
      <c r="V715" s="73"/>
      <c r="W715" s="77"/>
      <c r="X715" s="80" t="s">
        <v>34</v>
      </c>
      <c r="Y715" s="81">
        <f>Y711/6</f>
        <v>125.75</v>
      </c>
      <c r="AB715" s="59"/>
      <c r="AC715" s="60">
        <v>346</v>
      </c>
      <c r="AD715" s="61"/>
      <c r="AE715" s="62"/>
      <c r="AF715" s="61"/>
      <c r="AG715" s="61"/>
      <c r="AH715" s="75"/>
      <c r="AI715" s="76"/>
      <c r="AJ715" s="92" t="s">
        <v>47</v>
      </c>
      <c r="AK715" s="93" t="s">
        <v>48</v>
      </c>
      <c r="AL715" s="93" t="s">
        <v>65</v>
      </c>
      <c r="AO715" s="59"/>
      <c r="AP715" s="60">
        <v>127</v>
      </c>
      <c r="AQ715" s="61">
        <v>31</v>
      </c>
      <c r="AR715" s="62"/>
      <c r="AS715" s="61"/>
      <c r="AT715" s="61">
        <v>100</v>
      </c>
      <c r="AU715" s="75" t="s">
        <v>340</v>
      </c>
      <c r="AV715" s="76"/>
      <c r="AW715" s="77"/>
      <c r="AX715" s="78" t="s">
        <v>30</v>
      </c>
      <c r="AY715" s="79">
        <f>AY712/4</f>
        <v>118.025</v>
      </c>
    </row>
    <row r="716" spans="2:51">
      <c r="B716" s="59"/>
      <c r="C716" s="60">
        <v>248</v>
      </c>
      <c r="D716" s="61">
        <v>22</v>
      </c>
      <c r="E716" s="62"/>
      <c r="F716" s="61"/>
      <c r="G716" s="61"/>
      <c r="H716" s="75"/>
      <c r="I716" s="76"/>
      <c r="J716" s="77"/>
      <c r="K716" s="58"/>
      <c r="L716" s="58"/>
      <c r="O716" s="59"/>
      <c r="P716">
        <v>220</v>
      </c>
      <c r="Q716" s="61">
        <v>10</v>
      </c>
      <c r="R716" s="62"/>
      <c r="S716" s="70"/>
      <c r="T716" s="61"/>
      <c r="U716" s="75"/>
      <c r="V716" s="76"/>
      <c r="W716" s="77"/>
      <c r="X716" s="82" t="s">
        <v>37</v>
      </c>
      <c r="Y716" s="83">
        <f>Y711/8</f>
        <v>94.3125</v>
      </c>
      <c r="AB716" s="69"/>
      <c r="AC716" s="70"/>
      <c r="AD716" s="71"/>
      <c r="AE716" s="70">
        <v>727</v>
      </c>
      <c r="AF716" s="70">
        <v>72.7</v>
      </c>
      <c r="AG716" s="70"/>
      <c r="AH716" s="72"/>
      <c r="AI716" s="73"/>
      <c r="AJ716" s="94" t="s">
        <v>52</v>
      </c>
      <c r="AK716" s="95" t="s">
        <v>27</v>
      </c>
      <c r="AL716" s="95" t="s">
        <v>43</v>
      </c>
      <c r="AO716" s="69"/>
      <c r="AP716" s="70" t="s">
        <v>341</v>
      </c>
      <c r="AQ716" s="71"/>
      <c r="AR716" s="70">
        <v>277</v>
      </c>
      <c r="AS716" s="70">
        <v>27.7</v>
      </c>
      <c r="AT716" s="70"/>
      <c r="AU716" s="72"/>
      <c r="AV716" s="73"/>
      <c r="AW716" s="77"/>
      <c r="AX716" s="80" t="s">
        <v>34</v>
      </c>
      <c r="AY716" s="81">
        <f>AY712/6</f>
        <v>78.6833333333333</v>
      </c>
    </row>
    <row r="717" ht="22" customHeight="1" spans="2:51">
      <c r="B717" s="69"/>
      <c r="C717" s="70"/>
      <c r="D717" s="71"/>
      <c r="E717" s="70">
        <v>586</v>
      </c>
      <c r="F717" s="70">
        <v>58.6</v>
      </c>
      <c r="G717" s="70"/>
      <c r="H717" s="72"/>
      <c r="I717" s="73"/>
      <c r="J717" s="77"/>
      <c r="K717" s="58"/>
      <c r="L717" s="58"/>
      <c r="O717" s="69"/>
      <c r="P717" s="60">
        <v>258</v>
      </c>
      <c r="Q717" s="85">
        <v>20</v>
      </c>
      <c r="R717" s="70"/>
      <c r="S717" s="70"/>
      <c r="T717" s="70"/>
      <c r="U717" s="72"/>
      <c r="V717" s="73"/>
      <c r="W717" s="86"/>
      <c r="X717" s="77"/>
      <c r="Y717" s="87"/>
      <c r="AB717" s="59"/>
      <c r="AC717" s="60">
        <v>547</v>
      </c>
      <c r="AD717" s="61">
        <v>53</v>
      </c>
      <c r="AE717" s="62"/>
      <c r="AF717" s="61"/>
      <c r="AG717" s="61"/>
      <c r="AH717" s="75"/>
      <c r="AI717" s="76"/>
      <c r="AJ717" s="77"/>
      <c r="AK717" s="77"/>
      <c r="AL717" s="87"/>
      <c r="AO717" s="59"/>
      <c r="AP717" s="60">
        <v>651</v>
      </c>
      <c r="AQ717" s="61">
        <v>68</v>
      </c>
      <c r="AR717" s="62"/>
      <c r="AS717" s="61"/>
      <c r="AT717" s="61"/>
      <c r="AU717" s="75"/>
      <c r="AV717" s="84"/>
      <c r="AW717" s="77"/>
      <c r="AX717" s="82" t="s">
        <v>37</v>
      </c>
      <c r="AY717" s="83">
        <f>AY712/8</f>
        <v>59.0125</v>
      </c>
    </row>
    <row r="718" spans="2:51">
      <c r="B718" s="59"/>
      <c r="C718" s="60"/>
      <c r="D718" s="88">
        <v>20</v>
      </c>
      <c r="E718" s="62">
        <v>415</v>
      </c>
      <c r="F718" s="61"/>
      <c r="G718" s="61"/>
      <c r="H718" s="75"/>
      <c r="I718" s="76"/>
      <c r="J718" s="77"/>
      <c r="K718" s="58"/>
      <c r="L718" s="58"/>
      <c r="O718" s="59"/>
      <c r="P718" s="60">
        <v>108</v>
      </c>
      <c r="Q718" s="61"/>
      <c r="R718" s="62"/>
      <c r="S718" s="61"/>
      <c r="T718" s="61"/>
      <c r="U718" s="75"/>
      <c r="V718" s="76"/>
      <c r="W718" s="77"/>
      <c r="X718" s="58"/>
      <c r="Y718" s="58"/>
      <c r="AB718" s="69"/>
      <c r="AC718" s="70"/>
      <c r="AD718" s="71"/>
      <c r="AE718" s="70">
        <v>453</v>
      </c>
      <c r="AF718" s="70"/>
      <c r="AG718" s="70"/>
      <c r="AH718" s="72"/>
      <c r="AI718" s="73"/>
      <c r="AJ718" s="58"/>
      <c r="AK718" s="58"/>
      <c r="AL718" s="58"/>
      <c r="AO718" s="69"/>
      <c r="AP718" s="70">
        <v>25</v>
      </c>
      <c r="AQ718" s="85"/>
      <c r="AR718" s="70"/>
      <c r="AS718" s="70"/>
      <c r="AT718" s="70"/>
      <c r="AU718" s="72"/>
      <c r="AV718" s="73"/>
      <c r="AW718" s="86"/>
      <c r="AX718" s="77"/>
      <c r="AY718" s="87"/>
    </row>
    <row r="719" spans="2:51">
      <c r="B719" s="69"/>
      <c r="C719" s="70"/>
      <c r="D719" s="71"/>
      <c r="E719" s="70">
        <v>723</v>
      </c>
      <c r="F719" s="70">
        <v>144.6</v>
      </c>
      <c r="G719" s="70"/>
      <c r="H719" s="72"/>
      <c r="I719" s="73"/>
      <c r="J719" s="89" t="s">
        <v>44</v>
      </c>
      <c r="K719" s="90" t="s">
        <v>45</v>
      </c>
      <c r="L719" s="90" t="s">
        <v>46</v>
      </c>
      <c r="O719" s="69"/>
      <c r="P719" s="70"/>
      <c r="Q719" s="71"/>
      <c r="R719" s="70">
        <v>622</v>
      </c>
      <c r="S719" s="70">
        <v>62.2</v>
      </c>
      <c r="T719" s="70"/>
      <c r="U719" s="72"/>
      <c r="V719" s="73"/>
      <c r="W719" s="77"/>
      <c r="X719" s="58"/>
      <c r="Y719" s="58"/>
      <c r="AB719" s="59"/>
      <c r="AC719" s="60"/>
      <c r="AD719" s="61"/>
      <c r="AE719" s="62">
        <v>576</v>
      </c>
      <c r="AF719" s="61">
        <v>115.2</v>
      </c>
      <c r="AG719" s="61"/>
      <c r="AH719" s="75"/>
      <c r="AI719" s="76"/>
      <c r="AJ719" s="58"/>
      <c r="AK719" s="58"/>
      <c r="AL719" s="58"/>
      <c r="AO719" s="59"/>
      <c r="AP719" s="60">
        <v>60</v>
      </c>
      <c r="AQ719" s="61"/>
      <c r="AR719" s="62"/>
      <c r="AS719" s="61"/>
      <c r="AT719" s="61"/>
      <c r="AU719" s="75"/>
      <c r="AV719" s="84"/>
      <c r="AW719" s="77"/>
      <c r="AX719" s="58"/>
      <c r="AY719" s="58"/>
    </row>
    <row r="720" spans="2:51">
      <c r="B720" s="59"/>
      <c r="C720" s="60">
        <v>374</v>
      </c>
      <c r="D720" s="61">
        <v>41</v>
      </c>
      <c r="E720" s="62"/>
      <c r="F720" s="61"/>
      <c r="G720" s="61"/>
      <c r="H720" s="75"/>
      <c r="I720" s="76"/>
      <c r="J720" s="92" t="s">
        <v>47</v>
      </c>
      <c r="K720" s="93" t="s">
        <v>48</v>
      </c>
      <c r="L720" s="93" t="s">
        <v>65</v>
      </c>
      <c r="O720" s="59"/>
      <c r="P720" s="60"/>
      <c r="Q720" s="88"/>
      <c r="R720" s="62">
        <v>548</v>
      </c>
      <c r="S720" s="61">
        <v>82.2</v>
      </c>
      <c r="T720" s="61"/>
      <c r="U720" s="75"/>
      <c r="V720" s="76"/>
      <c r="W720" s="77"/>
      <c r="X720" s="58"/>
      <c r="Y720" s="58"/>
      <c r="AB720" s="69"/>
      <c r="AC720" s="71">
        <v>65</v>
      </c>
      <c r="AD720" s="71"/>
      <c r="AE720" s="70"/>
      <c r="AF720" s="70"/>
      <c r="AG720" s="70"/>
      <c r="AH720" s="72"/>
      <c r="AI720" s="73"/>
      <c r="AJ720" s="58"/>
      <c r="AK720" s="58"/>
      <c r="AL720" s="58"/>
      <c r="AO720" s="69"/>
      <c r="AP720" s="70"/>
      <c r="AQ720" s="85"/>
      <c r="AR720" s="70">
        <v>373</v>
      </c>
      <c r="AS720" s="70">
        <v>37.3</v>
      </c>
      <c r="AT720" s="70"/>
      <c r="AU720" s="72"/>
      <c r="AV720" s="73"/>
      <c r="AW720" s="77"/>
      <c r="AX720" s="58"/>
      <c r="AY720" s="58"/>
    </row>
    <row r="721" spans="2:51">
      <c r="B721" s="69"/>
      <c r="C721" s="70"/>
      <c r="D721" s="71"/>
      <c r="E721" s="70">
        <v>225</v>
      </c>
      <c r="F721" s="70">
        <v>22.5</v>
      </c>
      <c r="G721" s="70"/>
      <c r="H721" s="72"/>
      <c r="I721" s="73"/>
      <c r="J721" s="94" t="s">
        <v>52</v>
      </c>
      <c r="K721" s="95" t="s">
        <v>27</v>
      </c>
      <c r="L721" s="95" t="s">
        <v>31</v>
      </c>
      <c r="O721" s="69"/>
      <c r="P721" s="70"/>
      <c r="Q721" s="71"/>
      <c r="R721" s="70">
        <v>520</v>
      </c>
      <c r="S721" s="70">
        <v>100</v>
      </c>
      <c r="T721" s="70"/>
      <c r="U721" s="72"/>
      <c r="V721" s="73"/>
      <c r="W721" s="89" t="s">
        <v>44</v>
      </c>
      <c r="X721" s="90" t="s">
        <v>45</v>
      </c>
      <c r="Y721" s="90" t="s">
        <v>46</v>
      </c>
      <c r="AB721" s="59"/>
      <c r="AC721" s="61"/>
      <c r="AD721" s="61"/>
      <c r="AE721" s="62">
        <v>282</v>
      </c>
      <c r="AF721" s="61"/>
      <c r="AG721" s="61"/>
      <c r="AH721" s="75"/>
      <c r="AI721" s="76"/>
      <c r="AJ721" s="58"/>
      <c r="AK721" s="58"/>
      <c r="AL721" s="58"/>
      <c r="AO721" s="59"/>
      <c r="AP721" s="60">
        <v>442</v>
      </c>
      <c r="AQ721" s="61">
        <v>21</v>
      </c>
      <c r="AR721" s="62"/>
      <c r="AS721" s="61"/>
      <c r="AT721" s="61"/>
      <c r="AU721" s="75"/>
      <c r="AV721" s="84"/>
      <c r="AW721" s="77"/>
      <c r="AX721" s="58"/>
      <c r="AY721" s="58"/>
    </row>
    <row r="722" spans="2:51">
      <c r="B722" s="59"/>
      <c r="C722" s="60"/>
      <c r="D722" s="61"/>
      <c r="E722" s="62">
        <v>718</v>
      </c>
      <c r="F722" s="61">
        <v>107.7</v>
      </c>
      <c r="G722" s="61"/>
      <c r="H722" s="75"/>
      <c r="I722" s="76"/>
      <c r="J722" s="77"/>
      <c r="K722" s="77"/>
      <c r="L722" s="87"/>
      <c r="O722" s="59"/>
      <c r="P722" s="60"/>
      <c r="Q722" s="61"/>
      <c r="R722" s="62">
        <v>630</v>
      </c>
      <c r="S722" s="61">
        <v>94.5</v>
      </c>
      <c r="T722" s="61"/>
      <c r="U722" s="75"/>
      <c r="V722" s="76"/>
      <c r="W722" s="92" t="s">
        <v>47</v>
      </c>
      <c r="X722" s="93" t="s">
        <v>48</v>
      </c>
      <c r="Y722" s="93" t="s">
        <v>50</v>
      </c>
      <c r="AB722" s="69"/>
      <c r="AC722" s="70">
        <v>931</v>
      </c>
      <c r="AD722" s="71">
        <v>79</v>
      </c>
      <c r="AE722" s="70"/>
      <c r="AF722" s="70"/>
      <c r="AG722" s="70"/>
      <c r="AH722" s="72"/>
      <c r="AI722" s="73"/>
      <c r="AJ722" s="58"/>
      <c r="AK722" s="58"/>
      <c r="AL722" s="58"/>
      <c r="AO722" s="69"/>
      <c r="AP722" s="70"/>
      <c r="AQ722" s="85"/>
      <c r="AR722" s="70">
        <v>541</v>
      </c>
      <c r="AS722" s="70">
        <v>54.1</v>
      </c>
      <c r="AT722" s="70"/>
      <c r="AU722" s="72"/>
      <c r="AV722" s="73"/>
      <c r="AW722" s="89" t="s">
        <v>44</v>
      </c>
      <c r="AX722" s="90" t="s">
        <v>45</v>
      </c>
      <c r="AY722" s="90" t="s">
        <v>46</v>
      </c>
    </row>
    <row r="723" spans="2:51">
      <c r="B723" s="69"/>
      <c r="C723" s="70"/>
      <c r="D723" s="71"/>
      <c r="E723" s="70">
        <v>492</v>
      </c>
      <c r="F723" s="70">
        <v>49.2</v>
      </c>
      <c r="G723" s="70"/>
      <c r="H723" s="72"/>
      <c r="I723" s="73"/>
      <c r="J723" s="58"/>
      <c r="K723" s="58"/>
      <c r="L723" s="58"/>
      <c r="O723" s="69"/>
      <c r="P723" s="70"/>
      <c r="Q723" s="71"/>
      <c r="R723" s="70">
        <v>394</v>
      </c>
      <c r="S723" s="70">
        <v>39.4</v>
      </c>
      <c r="T723" s="70"/>
      <c r="U723" s="72"/>
      <c r="V723" s="73"/>
      <c r="W723" s="94" t="s">
        <v>52</v>
      </c>
      <c r="X723" s="95" t="s">
        <v>27</v>
      </c>
      <c r="Y723" s="95" t="s">
        <v>65</v>
      </c>
      <c r="AB723" s="59"/>
      <c r="AC723" s="60"/>
      <c r="AD723" s="61"/>
      <c r="AE723" s="62">
        <v>455</v>
      </c>
      <c r="AF723" s="61">
        <v>45.5</v>
      </c>
      <c r="AG723" s="61"/>
      <c r="AH723" s="75"/>
      <c r="AI723" s="76"/>
      <c r="AJ723" s="58"/>
      <c r="AK723" s="58"/>
      <c r="AL723" s="58"/>
      <c r="AO723" s="59" t="s">
        <v>342</v>
      </c>
      <c r="AP723" s="60">
        <v>397</v>
      </c>
      <c r="AQ723" s="61">
        <v>103</v>
      </c>
      <c r="AR723" s="62"/>
      <c r="AS723" s="61"/>
      <c r="AT723" s="61"/>
      <c r="AU723" s="75"/>
      <c r="AV723" s="84"/>
      <c r="AW723" s="92" t="s">
        <v>47</v>
      </c>
      <c r="AX723" s="93" t="s">
        <v>48</v>
      </c>
      <c r="AY723" s="93" t="s">
        <v>283</v>
      </c>
    </row>
    <row r="724" ht="22" customHeight="1" spans="2:51">
      <c r="B724" s="59"/>
      <c r="C724" s="60"/>
      <c r="D724" s="61"/>
      <c r="E724" s="62">
        <v>356</v>
      </c>
      <c r="F724" s="61">
        <v>53.4</v>
      </c>
      <c r="G724" s="61"/>
      <c r="H724" s="75"/>
      <c r="I724" s="76"/>
      <c r="J724" s="58"/>
      <c r="K724" s="58"/>
      <c r="L724" s="58"/>
      <c r="O724" s="59"/>
      <c r="P724" s="60"/>
      <c r="Q724" s="61"/>
      <c r="R724" s="62">
        <v>455</v>
      </c>
      <c r="S724" s="61">
        <v>91</v>
      </c>
      <c r="T724" s="61"/>
      <c r="U724" s="75"/>
      <c r="V724" s="76"/>
      <c r="W724" s="77"/>
      <c r="X724" s="77"/>
      <c r="Y724" s="87"/>
      <c r="AB724" s="69"/>
      <c r="AC724" s="112"/>
      <c r="AD724" s="71"/>
      <c r="AE724" s="58">
        <v>395</v>
      </c>
      <c r="AF724" s="70">
        <v>39.5</v>
      </c>
      <c r="AG724" s="70"/>
      <c r="AH724" s="72"/>
      <c r="AI724" s="73"/>
      <c r="AJ724" s="58"/>
      <c r="AO724" s="69"/>
      <c r="AP724" s="70"/>
      <c r="AQ724" s="85" t="s">
        <v>343</v>
      </c>
      <c r="AR724" s="70">
        <v>484</v>
      </c>
      <c r="AS724" s="70">
        <v>48.4</v>
      </c>
      <c r="AT724" s="70"/>
      <c r="AU724" s="72"/>
      <c r="AV724" s="73"/>
      <c r="AW724" s="94" t="s">
        <v>52</v>
      </c>
      <c r="AX724" s="95" t="s">
        <v>27</v>
      </c>
      <c r="AY724" s="95" t="s">
        <v>31</v>
      </c>
    </row>
    <row r="725" spans="2:51">
      <c r="B725" s="69"/>
      <c r="C725" s="71"/>
      <c r="D725" s="71"/>
      <c r="E725" s="70">
        <v>875</v>
      </c>
      <c r="F725" s="70"/>
      <c r="G725" s="70"/>
      <c r="H725" s="72"/>
      <c r="I725" s="73"/>
      <c r="J725" s="58"/>
      <c r="K725" s="58"/>
      <c r="L725" s="58"/>
      <c r="O725" s="69"/>
      <c r="P725" s="70">
        <v>340</v>
      </c>
      <c r="Q725" s="71">
        <v>50</v>
      </c>
      <c r="R725" s="70"/>
      <c r="S725" s="70"/>
      <c r="T725" s="70"/>
      <c r="U725" s="72"/>
      <c r="V725" s="73"/>
      <c r="W725" s="58"/>
      <c r="X725" s="58"/>
      <c r="Y725" s="58"/>
      <c r="AB725" s="59"/>
      <c r="AC725" s="60"/>
      <c r="AD725" s="61"/>
      <c r="AE725" s="62"/>
      <c r="AF725" s="61"/>
      <c r="AG725" s="61"/>
      <c r="AH725" s="75"/>
      <c r="AI725" s="76"/>
      <c r="AJ725" s="58"/>
      <c r="AO725" s="59"/>
      <c r="AP725" s="60"/>
      <c r="AQ725" s="61"/>
      <c r="AR725" s="62">
        <v>459</v>
      </c>
      <c r="AS725" s="61">
        <v>45.9</v>
      </c>
      <c r="AT725" s="61"/>
      <c r="AU725" s="75"/>
      <c r="AV725" s="84"/>
      <c r="AW725" s="77"/>
      <c r="AX725" s="77"/>
      <c r="AY725" s="87"/>
    </row>
    <row r="726" spans="2:51">
      <c r="B726" s="59"/>
      <c r="C726" s="61"/>
      <c r="D726" s="61"/>
      <c r="E726" s="62">
        <v>230</v>
      </c>
      <c r="F726" s="61">
        <v>23</v>
      </c>
      <c r="G726" s="61"/>
      <c r="H726" s="75"/>
      <c r="I726" s="76"/>
      <c r="J726" s="58"/>
      <c r="K726" s="58"/>
      <c r="L726" s="58"/>
      <c r="O726" s="59"/>
      <c r="P726" s="60"/>
      <c r="Q726" s="61"/>
      <c r="R726" s="62">
        <v>542</v>
      </c>
      <c r="S726" s="61">
        <v>54.2</v>
      </c>
      <c r="T726" s="61"/>
      <c r="U726" s="75"/>
      <c r="V726" s="76"/>
      <c r="W726" s="58"/>
      <c r="X726" s="58"/>
      <c r="Y726" s="58"/>
      <c r="AB726" s="69"/>
      <c r="AC726" s="112"/>
      <c r="AD726" s="71"/>
      <c r="AE726" s="58"/>
      <c r="AF726" s="70"/>
      <c r="AG726" s="70"/>
      <c r="AH726" s="72"/>
      <c r="AI726" s="73"/>
      <c r="AJ726" s="58"/>
      <c r="AO726" s="69"/>
      <c r="AP726" s="70"/>
      <c r="AQ726" s="85"/>
      <c r="AR726" s="70"/>
      <c r="AS726" s="70"/>
      <c r="AT726" s="70"/>
      <c r="AU726" s="72"/>
      <c r="AV726" s="73"/>
      <c r="AW726" s="58"/>
      <c r="AX726" s="58"/>
      <c r="AY726" s="58"/>
    </row>
    <row r="727" spans="2:51">
      <c r="B727" s="69"/>
      <c r="C727" s="70"/>
      <c r="D727" s="71"/>
      <c r="E727" s="70">
        <v>444</v>
      </c>
      <c r="F727" s="70"/>
      <c r="G727" s="70"/>
      <c r="H727" s="72"/>
      <c r="I727" s="73"/>
      <c r="J727" s="58"/>
      <c r="K727" s="58">
        <f>AVERAGE(K677,K647,K616,N589,E556,N528,N503,N470,N421,N390,N338)</f>
        <v>506</v>
      </c>
      <c r="L727" s="58"/>
      <c r="O727" s="69"/>
      <c r="P727" s="71">
        <v>638</v>
      </c>
      <c r="Q727" s="71">
        <v>50</v>
      </c>
      <c r="R727" s="70"/>
      <c r="S727" s="70"/>
      <c r="T727" s="70"/>
      <c r="U727" s="72"/>
      <c r="V727" s="73"/>
      <c r="W727" s="58"/>
      <c r="X727" s="58"/>
      <c r="Y727" s="58"/>
      <c r="AB727" s="59"/>
      <c r="AC727" s="60"/>
      <c r="AD727" s="61"/>
      <c r="AE727" s="62"/>
      <c r="AF727" s="61"/>
      <c r="AG727" s="61"/>
      <c r="AH727" s="75"/>
      <c r="AI727" s="76"/>
      <c r="AJ727" s="58"/>
      <c r="AO727" s="59"/>
      <c r="AP727" s="60"/>
      <c r="AQ727" s="61"/>
      <c r="AR727" s="62"/>
      <c r="AS727" s="61"/>
      <c r="AT727" s="61"/>
      <c r="AU727" s="75"/>
      <c r="AV727" s="84"/>
      <c r="AW727" s="58"/>
      <c r="AX727" s="58"/>
      <c r="AY727" s="58"/>
    </row>
    <row r="728" spans="2:51">
      <c r="B728" s="59"/>
      <c r="C728" s="60"/>
      <c r="D728" s="61"/>
      <c r="E728" s="62">
        <v>170</v>
      </c>
      <c r="F728" s="61">
        <v>17</v>
      </c>
      <c r="G728" s="61"/>
      <c r="H728" s="75"/>
      <c r="I728" s="76"/>
      <c r="O728" s="59"/>
      <c r="P728" s="61"/>
      <c r="Q728" s="61"/>
      <c r="R728" s="62"/>
      <c r="S728" s="61"/>
      <c r="T728" s="61"/>
      <c r="U728" s="75"/>
      <c r="V728" s="76"/>
      <c r="W728" s="58"/>
      <c r="X728" s="58"/>
      <c r="Y728" s="58"/>
      <c r="AB728" s="96"/>
      <c r="AC728" s="97"/>
      <c r="AD728" s="98"/>
      <c r="AE728" s="99"/>
      <c r="AF728" s="98"/>
      <c r="AG728" s="98"/>
      <c r="AH728" s="72"/>
      <c r="AI728" s="73"/>
      <c r="AO728" s="96"/>
      <c r="AP728" s="97"/>
      <c r="AQ728" s="98"/>
      <c r="AR728" s="99"/>
      <c r="AS728" s="98"/>
      <c r="AT728" s="98"/>
      <c r="AU728" s="72"/>
      <c r="AV728" s="73"/>
    </row>
    <row r="729" ht="15.75" spans="2:51">
      <c r="B729" s="69"/>
      <c r="C729" s="112">
        <v>260</v>
      </c>
      <c r="D729" s="71">
        <v>20</v>
      </c>
      <c r="E729" s="58"/>
      <c r="F729" s="70"/>
      <c r="G729" s="70"/>
      <c r="H729" s="72"/>
      <c r="I729" s="73"/>
      <c r="O729" s="69"/>
      <c r="P729" s="71"/>
      <c r="Q729" s="71"/>
      <c r="R729" s="70"/>
      <c r="S729" s="70"/>
      <c r="T729" s="70"/>
      <c r="U729" s="72"/>
      <c r="V729" s="73"/>
      <c r="W729" s="58"/>
      <c r="X729" s="58"/>
      <c r="Y729" s="58"/>
      <c r="AB729" s="59"/>
      <c r="AC729" s="60"/>
      <c r="AD729" s="61"/>
      <c r="AE729" s="62"/>
      <c r="AF729" s="61"/>
      <c r="AG729" s="61"/>
      <c r="AH729" s="75"/>
      <c r="AI729" s="76"/>
      <c r="AO729" s="59"/>
      <c r="AP729" s="60"/>
      <c r="AQ729" s="61"/>
      <c r="AR729" s="62"/>
      <c r="AS729" s="61"/>
      <c r="AT729" s="61"/>
      <c r="AU729" s="75"/>
      <c r="AV729" s="76"/>
    </row>
    <row r="730" ht="15.75" spans="2:51">
      <c r="B730" s="59"/>
      <c r="C730" s="60"/>
      <c r="D730" s="61"/>
      <c r="E730" s="62"/>
      <c r="F730" s="61"/>
      <c r="G730" s="61"/>
      <c r="H730" s="75"/>
      <c r="I730" s="76"/>
      <c r="O730" s="102">
        <f t="shared" ref="O730:T730" si="123">SUM(O712:O729)</f>
        <v>3311</v>
      </c>
      <c r="P730" s="103">
        <f t="shared" si="123"/>
        <v>2361</v>
      </c>
      <c r="Q730" s="104">
        <f t="shared" si="123"/>
        <v>231</v>
      </c>
      <c r="R730" s="105">
        <f t="shared" si="123"/>
        <v>4313</v>
      </c>
      <c r="S730" s="106">
        <f t="shared" si="123"/>
        <v>523.5</v>
      </c>
      <c r="T730" s="107">
        <f t="shared" si="123"/>
        <v>4666</v>
      </c>
      <c r="U730" s="108" t="s">
        <v>54</v>
      </c>
      <c r="V730" s="109"/>
      <c r="AB730" s="96"/>
      <c r="AC730" s="97"/>
      <c r="AD730" s="98"/>
      <c r="AE730" s="99"/>
      <c r="AF730" s="98"/>
      <c r="AG730" s="98"/>
      <c r="AH730" s="72"/>
      <c r="AI730" s="73"/>
      <c r="AO730" s="96"/>
      <c r="AP730" s="97"/>
      <c r="AQ730" s="98"/>
      <c r="AR730" s="99"/>
      <c r="AS730" s="98"/>
      <c r="AT730" s="98"/>
      <c r="AU730" s="72"/>
      <c r="AV730" s="73"/>
    </row>
    <row r="731" spans="2:51">
      <c r="B731" s="96"/>
      <c r="C731" s="97"/>
      <c r="D731" s="98"/>
      <c r="E731" s="99"/>
      <c r="F731" s="98"/>
      <c r="G731" s="98"/>
      <c r="H731" s="72"/>
      <c r="I731" s="73"/>
      <c r="AB731" s="59"/>
      <c r="AC731" s="60"/>
      <c r="AD731" s="61"/>
      <c r="AE731" s="62"/>
      <c r="AF731" s="61"/>
      <c r="AG731" s="61"/>
      <c r="AH731" s="75"/>
      <c r="AI731" s="76"/>
      <c r="AO731" s="59"/>
      <c r="AP731" s="60"/>
      <c r="AQ731" s="61"/>
      <c r="AR731" s="62"/>
      <c r="AS731" s="61"/>
      <c r="AT731" s="61"/>
      <c r="AU731" s="75"/>
      <c r="AV731" s="76"/>
    </row>
    <row r="732" ht="15.75" spans="2:51">
      <c r="B732" s="59"/>
      <c r="C732" s="60"/>
      <c r="D732" s="61"/>
      <c r="E732" s="62"/>
      <c r="F732" s="61"/>
      <c r="G732" s="61"/>
      <c r="H732" s="75"/>
      <c r="I732" s="76"/>
      <c r="AB732" s="96"/>
      <c r="AC732" s="97"/>
      <c r="AD732" s="98"/>
      <c r="AE732" s="99"/>
      <c r="AF732" s="98"/>
      <c r="AG732" s="98"/>
      <c r="AH732" s="72"/>
      <c r="AI732" s="73"/>
      <c r="AO732" s="96"/>
      <c r="AP732" s="97"/>
      <c r="AQ732" s="98"/>
      <c r="AR732" s="99"/>
      <c r="AS732" s="98"/>
      <c r="AT732" s="98"/>
      <c r="AU732" s="72"/>
      <c r="AV732" s="73"/>
    </row>
    <row r="733" ht="15.75" spans="2:51">
      <c r="B733" s="59"/>
      <c r="C733" s="60"/>
      <c r="D733" s="61"/>
      <c r="E733" s="62"/>
      <c r="F733" s="61"/>
      <c r="G733" s="61"/>
      <c r="H733" s="75"/>
      <c r="I733" s="76"/>
      <c r="AB733" s="102">
        <f t="shared" ref="AB733:AG733" si="124">SUM(AB705:AB732)</f>
        <v>1437</v>
      </c>
      <c r="AC733" s="103">
        <f t="shared" si="124"/>
        <v>3864</v>
      </c>
      <c r="AD733" s="104">
        <f t="shared" si="124"/>
        <v>258</v>
      </c>
      <c r="AE733" s="105">
        <f t="shared" si="124"/>
        <v>3839</v>
      </c>
      <c r="AF733" s="106">
        <f t="shared" si="124"/>
        <v>298.7</v>
      </c>
      <c r="AG733" s="107">
        <f t="shared" si="124"/>
        <v>1537</v>
      </c>
      <c r="AH733" s="108" t="s">
        <v>54</v>
      </c>
      <c r="AI733" s="109"/>
      <c r="AO733" s="59"/>
      <c r="AP733" s="60"/>
      <c r="AQ733" s="61"/>
      <c r="AR733" s="62"/>
      <c r="AS733" s="61"/>
      <c r="AT733" s="61"/>
      <c r="AU733" s="75"/>
      <c r="AV733" s="76"/>
    </row>
    <row r="734" ht="15.75" spans="2:51">
      <c r="B734" s="69"/>
      <c r="C734" s="112"/>
      <c r="D734" s="71"/>
      <c r="E734" s="58"/>
      <c r="F734" s="70"/>
      <c r="G734" s="70"/>
      <c r="H734" s="72"/>
      <c r="I734" s="73"/>
      <c r="O734" s="33" t="s">
        <v>344</v>
      </c>
      <c r="P734" s="34"/>
      <c r="Q734" s="34"/>
      <c r="R734" s="34"/>
      <c r="S734" s="34"/>
      <c r="T734" s="34"/>
      <c r="U734" s="34"/>
      <c r="V734" s="34"/>
      <c r="W734" s="34"/>
      <c r="X734" s="34"/>
      <c r="Y734" s="35"/>
      <c r="AO734" s="96"/>
      <c r="AP734" s="97"/>
      <c r="AQ734" s="98"/>
      <c r="AR734" s="99"/>
      <c r="AS734" s="98"/>
      <c r="AT734" s="98"/>
      <c r="AU734" s="72"/>
      <c r="AV734" s="73"/>
    </row>
    <row r="735" ht="15.75" spans="2:51">
      <c r="B735" s="102">
        <f t="shared" ref="B735:G735" si="125">SUM(B710:B734)</f>
        <v>3094</v>
      </c>
      <c r="C735" s="103">
        <f t="shared" si="125"/>
        <v>1369</v>
      </c>
      <c r="D735" s="104">
        <f t="shared" si="125"/>
        <v>120</v>
      </c>
      <c r="E735" s="105">
        <f t="shared" si="125"/>
        <v>6854</v>
      </c>
      <c r="F735" s="106">
        <f t="shared" si="125"/>
        <v>602</v>
      </c>
      <c r="G735" s="107">
        <f t="shared" si="125"/>
        <v>3234</v>
      </c>
      <c r="H735" s="108" t="s">
        <v>54</v>
      </c>
      <c r="I735" s="109"/>
      <c r="O735" s="36"/>
      <c r="P735" s="37"/>
      <c r="Q735" s="37"/>
      <c r="R735" s="37"/>
      <c r="S735" s="37"/>
      <c r="T735" s="37"/>
      <c r="U735" s="37"/>
      <c r="V735" s="37"/>
      <c r="W735" s="37"/>
      <c r="X735" s="37"/>
      <c r="Y735" s="38"/>
      <c r="AO735" s="102">
        <f t="shared" ref="AO735:AT735" si="126">SUM(AO713:AO734)</f>
        <v>2492</v>
      </c>
      <c r="AP735" s="103">
        <f t="shared" si="126"/>
        <v>1960</v>
      </c>
      <c r="AQ735" s="104">
        <f t="shared" si="126"/>
        <v>245</v>
      </c>
      <c r="AR735" s="105">
        <f t="shared" si="126"/>
        <v>2271</v>
      </c>
      <c r="AS735" s="106">
        <f t="shared" si="126"/>
        <v>227.1</v>
      </c>
      <c r="AT735" s="107">
        <f t="shared" si="126"/>
        <v>2125</v>
      </c>
      <c r="AU735" s="108" t="s">
        <v>54</v>
      </c>
      <c r="AV735" s="109"/>
    </row>
    <row r="736" ht="23" customHeight="1" spans="2:51">
      <c r="O736" s="39" t="s">
        <v>12</v>
      </c>
      <c r="P736" s="40" t="s">
        <v>13</v>
      </c>
      <c r="Q736" s="41"/>
      <c r="R736" s="42" t="s">
        <v>14</v>
      </c>
      <c r="S736" s="43"/>
      <c r="T736" s="44" t="s">
        <v>15</v>
      </c>
      <c r="U736" s="45"/>
      <c r="V736" s="46"/>
      <c r="W736" s="47" t="s">
        <v>16</v>
      </c>
      <c r="X736" s="48"/>
      <c r="Y736" s="49">
        <f>P754+R754</f>
        <v>2590</v>
      </c>
      <c r="AB736" s="33" t="s">
        <v>345</v>
      </c>
      <c r="AC736" s="34"/>
      <c r="AD736" s="34"/>
      <c r="AE736" s="34"/>
      <c r="AF736" s="34"/>
      <c r="AG736" s="34"/>
      <c r="AH736" s="34"/>
      <c r="AI736" s="34"/>
      <c r="AJ736" s="34"/>
      <c r="AK736" s="34"/>
      <c r="AL736" s="35"/>
    </row>
    <row r="737" ht="15.75" spans="2:51">
      <c r="O737" s="50"/>
      <c r="P737" s="51" t="s">
        <v>17</v>
      </c>
      <c r="Q737" s="51" t="s">
        <v>18</v>
      </c>
      <c r="R737" s="52" t="s">
        <v>17</v>
      </c>
      <c r="S737" s="52" t="s">
        <v>18</v>
      </c>
      <c r="T737" s="53"/>
      <c r="U737" s="54"/>
      <c r="V737" s="55"/>
      <c r="W737" s="56" t="s">
        <v>19</v>
      </c>
      <c r="X737" s="57"/>
      <c r="Y737" s="49">
        <f>Q754+S754</f>
        <v>189</v>
      </c>
      <c r="AB737" s="36"/>
      <c r="AC737" s="37"/>
      <c r="AD737" s="37"/>
      <c r="AE737" s="37"/>
      <c r="AF737" s="37"/>
      <c r="AG737" s="37"/>
      <c r="AH737" s="37"/>
      <c r="AI737" s="37"/>
      <c r="AJ737" s="37"/>
      <c r="AK737" s="37"/>
      <c r="AL737" s="38"/>
    </row>
    <row r="738" ht="15.75" spans="2:51">
      <c r="B738" s="33" t="s">
        <v>346</v>
      </c>
      <c r="C738" s="34"/>
      <c r="D738" s="34"/>
      <c r="E738" s="34"/>
      <c r="F738" s="34"/>
      <c r="G738" s="34"/>
      <c r="H738" s="34"/>
      <c r="I738" s="34"/>
      <c r="J738" s="34"/>
      <c r="K738" s="34"/>
      <c r="L738" s="35"/>
      <c r="O738" s="59">
        <v>1035</v>
      </c>
      <c r="P738">
        <v>153</v>
      </c>
      <c r="Q738" s="61"/>
      <c r="R738" s="60"/>
      <c r="S738" s="61"/>
      <c r="T738" s="61">
        <v>36</v>
      </c>
      <c r="U738" s="63" t="s">
        <v>347</v>
      </c>
      <c r="V738" s="64"/>
      <c r="W738" s="65" t="s">
        <v>21</v>
      </c>
      <c r="X738" s="66"/>
      <c r="Y738" s="67">
        <f>T754</f>
        <v>1266</v>
      </c>
      <c r="AB738" s="39" t="s">
        <v>12</v>
      </c>
      <c r="AC738" s="40" t="s">
        <v>13</v>
      </c>
      <c r="AD738" s="41"/>
      <c r="AE738" s="42" t="s">
        <v>14</v>
      </c>
      <c r="AF738" s="43"/>
      <c r="AG738" s="44" t="s">
        <v>15</v>
      </c>
      <c r="AH738" s="45"/>
      <c r="AI738" s="46"/>
      <c r="AJ738" s="47" t="s">
        <v>16</v>
      </c>
      <c r="AK738" s="48"/>
      <c r="AL738" s="49">
        <f>AC778+AE778</f>
        <v>10477</v>
      </c>
      <c r="AO738" s="33" t="s">
        <v>348</v>
      </c>
      <c r="AP738" s="34"/>
      <c r="AQ738" s="34"/>
      <c r="AR738" s="34"/>
      <c r="AS738" s="34"/>
      <c r="AT738" s="34"/>
      <c r="AU738" s="34"/>
      <c r="AV738" s="34"/>
      <c r="AW738" s="34"/>
      <c r="AX738" s="34"/>
      <c r="AY738" s="35"/>
    </row>
    <row r="739" ht="15.75" spans="2:51">
      <c r="B739" s="36"/>
      <c r="C739" s="37"/>
      <c r="D739" s="37"/>
      <c r="E739" s="37"/>
      <c r="F739" s="37"/>
      <c r="G739" s="37"/>
      <c r="H739" s="37"/>
      <c r="I739" s="37"/>
      <c r="J739" s="37"/>
      <c r="K739" s="37"/>
      <c r="L739" s="38"/>
      <c r="O739" s="69"/>
      <c r="P739" s="70">
        <v>176</v>
      </c>
      <c r="Q739" s="71"/>
      <c r="R739" s="70"/>
      <c r="S739" s="71"/>
      <c r="T739" s="70">
        <v>30</v>
      </c>
      <c r="U739" s="72" t="s">
        <v>29</v>
      </c>
      <c r="V739" s="73"/>
      <c r="W739" s="74" t="s">
        <v>26</v>
      </c>
      <c r="X739" s="57"/>
      <c r="Y739" s="49">
        <f>O754+Y736+Y737-Y738-R754-S754</f>
        <v>280</v>
      </c>
      <c r="AB739" s="50"/>
      <c r="AC739" s="51" t="s">
        <v>17</v>
      </c>
      <c r="AD739" s="51" t="s">
        <v>18</v>
      </c>
      <c r="AE739" s="52" t="s">
        <v>17</v>
      </c>
      <c r="AF739" s="52" t="s">
        <v>18</v>
      </c>
      <c r="AG739" s="53"/>
      <c r="AH739" s="54"/>
      <c r="AI739" s="55"/>
      <c r="AJ739" s="56" t="s">
        <v>19</v>
      </c>
      <c r="AK739" s="57"/>
      <c r="AL739" s="49">
        <f>AD778+AF778</f>
        <v>979.25</v>
      </c>
      <c r="AO739" s="36"/>
      <c r="AP739" s="37"/>
      <c r="AQ739" s="37"/>
      <c r="AR739" s="37"/>
      <c r="AS739" s="37"/>
      <c r="AT739" s="37"/>
      <c r="AU739" s="37"/>
      <c r="AV739" s="37"/>
      <c r="AW739" s="37"/>
      <c r="AX739" s="37"/>
      <c r="AY739" s="38"/>
    </row>
    <row r="740" ht="17" customHeight="1" spans="2:51">
      <c r="B740" s="39" t="s">
        <v>12</v>
      </c>
      <c r="C740" s="40" t="s">
        <v>13</v>
      </c>
      <c r="D740" s="41"/>
      <c r="E740" s="42" t="s">
        <v>14</v>
      </c>
      <c r="F740" s="43"/>
      <c r="G740" s="44" t="s">
        <v>15</v>
      </c>
      <c r="H740" s="45"/>
      <c r="I740" s="46"/>
      <c r="J740" s="47" t="s">
        <v>16</v>
      </c>
      <c r="K740" s="48"/>
      <c r="L740" s="49">
        <f>C767+E767</f>
        <v>5393</v>
      </c>
      <c r="O740" s="59"/>
      <c r="P740" s="60"/>
      <c r="Q740" s="60"/>
      <c r="R740" s="60">
        <v>621</v>
      </c>
      <c r="S740">
        <v>71</v>
      </c>
      <c r="T740" s="61">
        <v>1200</v>
      </c>
      <c r="U740" s="75" t="s">
        <v>43</v>
      </c>
      <c r="V740" s="76"/>
      <c r="W740" s="77"/>
      <c r="X740" s="78" t="s">
        <v>30</v>
      </c>
      <c r="Y740" s="79">
        <f>Y737/4</f>
        <v>47.25</v>
      </c>
      <c r="AB740" s="59">
        <v>1122</v>
      </c>
      <c r="AC740" s="68">
        <v>108</v>
      </c>
      <c r="AD740" s="61"/>
      <c r="AE740" s="62"/>
      <c r="AF740" s="61"/>
      <c r="AG740" s="61">
        <v>140</v>
      </c>
      <c r="AH740" s="63" t="s">
        <v>63</v>
      </c>
      <c r="AI740" s="64"/>
      <c r="AJ740" s="65" t="s">
        <v>21</v>
      </c>
      <c r="AK740" s="66"/>
      <c r="AL740" s="67">
        <f>AG778</f>
        <v>1895</v>
      </c>
      <c r="AO740" s="39" t="s">
        <v>12</v>
      </c>
      <c r="AP740" s="40" t="s">
        <v>13</v>
      </c>
      <c r="AQ740" s="41"/>
      <c r="AR740" s="42" t="s">
        <v>14</v>
      </c>
      <c r="AS740" s="43"/>
      <c r="AT740" s="44" t="s">
        <v>15</v>
      </c>
      <c r="AU740" s="45"/>
      <c r="AV740" s="46"/>
      <c r="AW740" s="47" t="s">
        <v>16</v>
      </c>
      <c r="AX740" s="48"/>
      <c r="AY740" s="49">
        <f>AP766+AR766</f>
        <v>6189</v>
      </c>
    </row>
    <row r="741" ht="14" customHeight="1" spans="2:51">
      <c r="B741" s="50"/>
      <c r="C741" s="51" t="s">
        <v>17</v>
      </c>
      <c r="D741" s="51" t="s">
        <v>18</v>
      </c>
      <c r="E741" s="52" t="s">
        <v>17</v>
      </c>
      <c r="F741" s="52" t="s">
        <v>18</v>
      </c>
      <c r="G741" s="53"/>
      <c r="H741" s="54"/>
      <c r="I741" s="55"/>
      <c r="J741" s="56" t="s">
        <v>19</v>
      </c>
      <c r="K741" s="57"/>
      <c r="L741" s="49">
        <f>D767+F767</f>
        <v>576.15</v>
      </c>
      <c r="O741" s="69"/>
      <c r="P741" s="70"/>
      <c r="Q741" s="71"/>
      <c r="R741" s="70">
        <v>930</v>
      </c>
      <c r="S741" s="61">
        <v>93</v>
      </c>
      <c r="T741" s="70"/>
      <c r="U741" s="72"/>
      <c r="V741" s="73"/>
      <c r="W741" s="77"/>
      <c r="X741" s="80" t="s">
        <v>34</v>
      </c>
      <c r="Y741" s="81">
        <f>Y737/6</f>
        <v>31.5</v>
      </c>
      <c r="AB741" s="69"/>
      <c r="AC741" s="70">
        <v>170</v>
      </c>
      <c r="AD741" s="71">
        <v>20</v>
      </c>
      <c r="AE741" s="70"/>
      <c r="AF741" s="70"/>
      <c r="AG741" s="70">
        <v>120</v>
      </c>
      <c r="AH741" s="72" t="s">
        <v>170</v>
      </c>
      <c r="AI741" s="73"/>
      <c r="AJ741" s="74" t="s">
        <v>26</v>
      </c>
      <c r="AK741" s="57"/>
      <c r="AL741" s="49">
        <f>AB778+AL738+AL739-AL740-AE778-AF778</f>
        <v>4940</v>
      </c>
      <c r="AO741" s="50"/>
      <c r="AP741" s="51" t="s">
        <v>17</v>
      </c>
      <c r="AQ741" s="51" t="s">
        <v>18</v>
      </c>
      <c r="AR741" s="52" t="s">
        <v>17</v>
      </c>
      <c r="AS741" s="52" t="s">
        <v>18</v>
      </c>
      <c r="AT741" s="53"/>
      <c r="AU741" s="54"/>
      <c r="AV741" s="55"/>
      <c r="AW741" s="56" t="s">
        <v>19</v>
      </c>
      <c r="AX741" s="57"/>
      <c r="AY741" s="49">
        <f>AQ766+AS766</f>
        <v>447.5</v>
      </c>
    </row>
    <row r="742" ht="15.75" spans="2:51">
      <c r="B742" s="59">
        <v>1349</v>
      </c>
      <c r="C742" s="60">
        <v>230</v>
      </c>
      <c r="D742" s="61">
        <v>20</v>
      </c>
      <c r="E742" s="62"/>
      <c r="F742" s="61"/>
      <c r="G742" s="61">
        <v>30</v>
      </c>
      <c r="H742" s="63" t="s">
        <v>29</v>
      </c>
      <c r="I742" s="64"/>
      <c r="J742" s="65" t="s">
        <v>21</v>
      </c>
      <c r="K742" s="66"/>
      <c r="L742" s="67">
        <f>G767</f>
        <v>1296</v>
      </c>
      <c r="O742" s="59"/>
      <c r="P742">
        <v>157</v>
      </c>
      <c r="Q742" s="61"/>
      <c r="R742" s="62"/>
      <c r="S742" s="70"/>
      <c r="T742" s="61"/>
      <c r="U742" s="75"/>
      <c r="V742" s="76"/>
      <c r="W742" s="77"/>
      <c r="X742" s="82" t="s">
        <v>37</v>
      </c>
      <c r="Y742" s="83">
        <f>Y737/8</f>
        <v>23.625</v>
      </c>
      <c r="AB742" s="59"/>
      <c r="AC742" s="60">
        <v>137</v>
      </c>
      <c r="AD742" s="61"/>
      <c r="AE742" s="62"/>
      <c r="AF742" s="61"/>
      <c r="AG742" s="61">
        <v>47</v>
      </c>
      <c r="AH742" s="75" t="s">
        <v>199</v>
      </c>
      <c r="AI742" s="76"/>
      <c r="AJ742" s="77"/>
      <c r="AK742" s="78" t="s">
        <v>30</v>
      </c>
      <c r="AL742" s="79">
        <f>AL739/4</f>
        <v>244.8125</v>
      </c>
      <c r="AO742" s="59">
        <v>2447</v>
      </c>
      <c r="AP742" s="68">
        <v>57</v>
      </c>
      <c r="AQ742" s="61"/>
      <c r="AR742" s="62"/>
      <c r="AS742" s="61"/>
      <c r="AT742" s="61">
        <v>75</v>
      </c>
      <c r="AU742" s="63" t="s">
        <v>349</v>
      </c>
      <c r="AV742" s="64"/>
      <c r="AW742" s="65" t="s">
        <v>21</v>
      </c>
      <c r="AX742" s="66"/>
      <c r="AY742" s="67">
        <f>AT766</f>
        <v>4688</v>
      </c>
    </row>
    <row r="743" ht="17" customHeight="1" spans="2:51">
      <c r="B743" s="69"/>
      <c r="C743" s="70"/>
      <c r="D743" s="71">
        <v>10</v>
      </c>
      <c r="E743" s="70">
        <v>207</v>
      </c>
      <c r="F743" s="70"/>
      <c r="G743" s="70">
        <v>925</v>
      </c>
      <c r="H743" s="72" t="s">
        <v>39</v>
      </c>
      <c r="I743" s="73"/>
      <c r="J743" s="74" t="s">
        <v>26</v>
      </c>
      <c r="K743" s="57"/>
      <c r="L743" s="49">
        <f>B767+L740+L741-L742-E767-F767</f>
        <v>2350</v>
      </c>
      <c r="O743" s="69"/>
      <c r="P743" s="60"/>
      <c r="Q743" s="85">
        <v>25</v>
      </c>
      <c r="R743" s="70">
        <v>553</v>
      </c>
      <c r="S743" s="70"/>
      <c r="T743" s="70"/>
      <c r="U743" s="72"/>
      <c r="V743" s="73"/>
      <c r="W743" s="86"/>
      <c r="X743" s="77"/>
      <c r="Y743" s="87"/>
      <c r="AB743" s="69"/>
      <c r="AC743" s="70">
        <v>710</v>
      </c>
      <c r="AD743" s="71">
        <v>90</v>
      </c>
      <c r="AE743" s="70"/>
      <c r="AF743" s="70"/>
      <c r="AG743" s="70">
        <v>31</v>
      </c>
      <c r="AH743" s="72" t="s">
        <v>29</v>
      </c>
      <c r="AI743" s="73"/>
      <c r="AJ743" s="77"/>
      <c r="AK743" s="80" t="s">
        <v>34</v>
      </c>
      <c r="AL743" s="81">
        <f>AL739/6</f>
        <v>163.208333333333</v>
      </c>
      <c r="AO743" s="69"/>
      <c r="AP743" s="70"/>
      <c r="AQ743" s="71"/>
      <c r="AR743" s="70">
        <v>220</v>
      </c>
      <c r="AS743" s="70">
        <v>22</v>
      </c>
      <c r="AT743" s="70">
        <v>69</v>
      </c>
      <c r="AU743" s="72" t="s">
        <v>201</v>
      </c>
      <c r="AV743" s="73"/>
      <c r="AW743" s="74" t="s">
        <v>26</v>
      </c>
      <c r="AX743" s="57"/>
      <c r="AY743" s="49">
        <f>AO766+AY740+AY741-AY742-AR766-AS766</f>
        <v>239</v>
      </c>
    </row>
    <row r="744" spans="2:51">
      <c r="B744" s="59"/>
      <c r="C744" s="60">
        <v>169</v>
      </c>
      <c r="D744" s="61">
        <v>20</v>
      </c>
      <c r="E744" s="62"/>
      <c r="F744" s="61"/>
      <c r="G744" s="61">
        <v>341</v>
      </c>
      <c r="H744" s="75" t="s">
        <v>350</v>
      </c>
      <c r="I744" s="76"/>
      <c r="J744" s="77"/>
      <c r="K744" s="78" t="s">
        <v>30</v>
      </c>
      <c r="L744" s="79">
        <f>L741/4</f>
        <v>144.0375</v>
      </c>
      <c r="O744" s="59"/>
      <c r="P744" s="60"/>
      <c r="Q744" s="61"/>
      <c r="R744" s="62"/>
      <c r="S744" s="61"/>
      <c r="T744" s="61"/>
      <c r="U744" s="75"/>
      <c r="V744" s="76"/>
      <c r="W744" s="77"/>
      <c r="X744" s="58"/>
      <c r="Y744" s="58"/>
      <c r="AB744" s="59"/>
      <c r="AC744" s="60"/>
      <c r="AD744" s="61"/>
      <c r="AE744" s="62">
        <v>142</v>
      </c>
      <c r="AF744" s="61"/>
      <c r="AG744" s="61">
        <v>21</v>
      </c>
      <c r="AH744" s="75" t="s">
        <v>64</v>
      </c>
      <c r="AI744" s="84"/>
      <c r="AJ744" s="77"/>
      <c r="AK744" s="82" t="s">
        <v>37</v>
      </c>
      <c r="AL744" s="83">
        <f>AL739/8</f>
        <v>122.40625</v>
      </c>
      <c r="AO744" s="59"/>
      <c r="AP744" s="60">
        <v>576</v>
      </c>
      <c r="AQ744" s="61"/>
      <c r="AR744" s="62"/>
      <c r="AS744" s="61"/>
      <c r="AT744" s="61">
        <v>8</v>
      </c>
      <c r="AU744" s="75" t="s">
        <v>351</v>
      </c>
      <c r="AV744" s="76"/>
      <c r="AW744" s="77"/>
      <c r="AX744" s="78" t="s">
        <v>30</v>
      </c>
      <c r="AY744" s="79">
        <f>AY741/4</f>
        <v>111.875</v>
      </c>
    </row>
    <row r="745" ht="19" customHeight="1" spans="2:51">
      <c r="B745" s="69"/>
      <c r="C745" s="70"/>
      <c r="D745" s="71"/>
      <c r="E745" s="70">
        <v>273</v>
      </c>
      <c r="F745" s="70">
        <v>40.95</v>
      </c>
      <c r="G745" s="70"/>
      <c r="H745" s="72"/>
      <c r="I745" s="73"/>
      <c r="J745" s="77"/>
      <c r="K745" s="80" t="s">
        <v>34</v>
      </c>
      <c r="L745" s="81">
        <f>L741/6</f>
        <v>96.025</v>
      </c>
      <c r="O745" s="69"/>
      <c r="P745" s="70"/>
      <c r="Q745" s="71"/>
      <c r="R745" s="70"/>
      <c r="S745" s="70"/>
      <c r="T745" s="70"/>
      <c r="U745" s="72"/>
      <c r="V745" s="73"/>
      <c r="W745" s="77"/>
      <c r="X745" s="58"/>
      <c r="Y745" s="58"/>
      <c r="AB745" s="69"/>
      <c r="AC745" s="70">
        <v>394</v>
      </c>
      <c r="AD745" s="85">
        <v>46</v>
      </c>
      <c r="AE745" s="70"/>
      <c r="AF745" s="70"/>
      <c r="AG745" s="70">
        <v>30</v>
      </c>
      <c r="AH745" s="72" t="s">
        <v>29</v>
      </c>
      <c r="AI745" s="73"/>
      <c r="AJ745" s="86"/>
      <c r="AK745" s="77"/>
      <c r="AL745" s="87"/>
      <c r="AO745" s="69"/>
      <c r="AP745" s="70">
        <v>50</v>
      </c>
      <c r="AQ745" s="71"/>
      <c r="AR745" s="70"/>
      <c r="AS745" s="70"/>
      <c r="AT745" s="70">
        <v>25</v>
      </c>
      <c r="AU745" s="72" t="s">
        <v>29</v>
      </c>
      <c r="AV745" s="73"/>
      <c r="AW745" s="77"/>
      <c r="AX745" s="80" t="s">
        <v>34</v>
      </c>
      <c r="AY745" s="81">
        <f>AY741/6</f>
        <v>74.5833333333333</v>
      </c>
    </row>
    <row r="746" ht="18" customHeight="1" spans="2:51">
      <c r="B746" s="59"/>
      <c r="C746" s="60">
        <v>276</v>
      </c>
      <c r="D746" s="61">
        <v>42</v>
      </c>
      <c r="E746" s="62"/>
      <c r="F746" s="61"/>
      <c r="G746" s="61"/>
      <c r="H746" s="75"/>
      <c r="I746" s="76"/>
      <c r="J746" s="77"/>
      <c r="K746" s="82" t="s">
        <v>37</v>
      </c>
      <c r="L746" s="83">
        <f>L741/8</f>
        <v>72.01875</v>
      </c>
      <c r="O746" s="59"/>
      <c r="P746" s="60"/>
      <c r="Q746" s="88"/>
      <c r="R746" s="62"/>
      <c r="S746" s="61"/>
      <c r="T746" s="61"/>
      <c r="U746" s="75"/>
      <c r="V746" s="76"/>
      <c r="W746" s="77"/>
      <c r="X746" s="58"/>
      <c r="Y746" s="58"/>
      <c r="AB746" s="59"/>
      <c r="AC746" s="60"/>
      <c r="AD746" s="61">
        <v>100</v>
      </c>
      <c r="AE746" s="62">
        <v>1023</v>
      </c>
      <c r="AF746" s="61"/>
      <c r="AG746" s="61">
        <v>1020</v>
      </c>
      <c r="AH746" s="75" t="s">
        <v>39</v>
      </c>
      <c r="AI746" s="76"/>
      <c r="AJ746" s="77"/>
      <c r="AK746" s="58"/>
      <c r="AL746" s="58"/>
      <c r="AO746" s="59"/>
      <c r="AP746" s="60">
        <v>175</v>
      </c>
      <c r="AQ746" s="61"/>
      <c r="AR746" s="62"/>
      <c r="AS746" s="61"/>
      <c r="AT746" s="61">
        <v>42</v>
      </c>
      <c r="AU746" s="75" t="s">
        <v>129</v>
      </c>
      <c r="AV746" s="84"/>
      <c r="AW746" s="77"/>
      <c r="AX746" s="82" t="s">
        <v>37</v>
      </c>
      <c r="AY746" s="83">
        <f>AY741/8</f>
        <v>55.9375</v>
      </c>
    </row>
    <row r="747" spans="2:51">
      <c r="B747" s="69"/>
      <c r="C747" s="70">
        <v>268</v>
      </c>
      <c r="D747" s="85">
        <v>28</v>
      </c>
      <c r="E747" s="70"/>
      <c r="F747" s="70"/>
      <c r="G747" s="70"/>
      <c r="H747" s="72"/>
      <c r="I747" s="73"/>
      <c r="J747" s="86"/>
      <c r="K747" s="77"/>
      <c r="L747" s="87"/>
      <c r="O747" s="69"/>
      <c r="P747" s="70"/>
      <c r="Q747" s="71"/>
      <c r="R747" s="70"/>
      <c r="S747" s="70"/>
      <c r="T747" s="70"/>
      <c r="U747" s="72"/>
      <c r="V747" s="73"/>
      <c r="W747" s="89" t="s">
        <v>44</v>
      </c>
      <c r="X747" s="90" t="s">
        <v>45</v>
      </c>
      <c r="Y747" s="90" t="s">
        <v>46</v>
      </c>
      <c r="AB747" s="69"/>
      <c r="AC747" s="70">
        <v>317</v>
      </c>
      <c r="AD747" s="71">
        <v>28</v>
      </c>
      <c r="AE747" s="70"/>
      <c r="AF747" s="70"/>
      <c r="AG747" s="70">
        <v>305</v>
      </c>
      <c r="AH747" s="72" t="s">
        <v>181</v>
      </c>
      <c r="AI747" s="73"/>
      <c r="AJ747" s="77"/>
      <c r="AK747" s="58"/>
      <c r="AL747" s="58"/>
      <c r="AO747" s="69"/>
      <c r="AP747" s="70"/>
      <c r="AQ747" s="85"/>
      <c r="AR747" s="70">
        <v>383</v>
      </c>
      <c r="AS747" s="70">
        <v>19.15</v>
      </c>
      <c r="AT747" s="70">
        <v>140</v>
      </c>
      <c r="AU747" s="72" t="s">
        <v>22</v>
      </c>
      <c r="AV747" s="73"/>
      <c r="AW747" s="86"/>
      <c r="AX747" s="77"/>
      <c r="AY747" s="87"/>
    </row>
    <row r="748" spans="2:51">
      <c r="B748" s="59"/>
      <c r="C748" s="60"/>
      <c r="D748" s="61"/>
      <c r="E748" s="62">
        <v>541</v>
      </c>
      <c r="F748" s="61">
        <v>54.1</v>
      </c>
      <c r="G748" s="61"/>
      <c r="H748" s="75"/>
      <c r="I748" s="76"/>
      <c r="J748" s="77"/>
      <c r="K748" s="58"/>
      <c r="L748" s="58"/>
      <c r="O748" s="59"/>
      <c r="P748" s="60"/>
      <c r="Q748" s="61"/>
      <c r="R748" s="62"/>
      <c r="S748" s="61"/>
      <c r="T748" s="61"/>
      <c r="U748" s="75"/>
      <c r="V748" s="76"/>
      <c r="W748" s="92" t="s">
        <v>47</v>
      </c>
      <c r="X748" s="93" t="s">
        <v>283</v>
      </c>
      <c r="Y748" s="93" t="s">
        <v>65</v>
      </c>
      <c r="AB748" s="59"/>
      <c r="AC748" s="60"/>
      <c r="AD748" s="88"/>
      <c r="AE748" s="62">
        <v>709</v>
      </c>
      <c r="AF748" s="61">
        <v>106.35</v>
      </c>
      <c r="AG748" s="61">
        <v>41</v>
      </c>
      <c r="AH748" s="75" t="s">
        <v>218</v>
      </c>
      <c r="AI748" s="76"/>
      <c r="AJ748" s="77"/>
      <c r="AK748" s="58"/>
      <c r="AL748" s="58"/>
      <c r="AO748" s="59"/>
      <c r="AP748" s="60"/>
      <c r="AQ748" s="61"/>
      <c r="AR748" s="62">
        <v>384</v>
      </c>
      <c r="AS748" s="61">
        <v>38.4</v>
      </c>
      <c r="AT748" s="61">
        <v>2343</v>
      </c>
      <c r="AU748" s="75" t="s">
        <v>27</v>
      </c>
      <c r="AV748" s="84"/>
      <c r="AW748" s="77"/>
      <c r="AX748" s="58"/>
      <c r="AY748" s="58"/>
    </row>
    <row r="749" spans="2:51">
      <c r="B749" s="69"/>
      <c r="C749" s="70">
        <v>450</v>
      </c>
      <c r="D749" s="71">
        <v>50</v>
      </c>
      <c r="E749" s="70"/>
      <c r="F749" s="70"/>
      <c r="G749" s="70"/>
      <c r="H749" s="72"/>
      <c r="I749" s="73"/>
      <c r="J749" s="77"/>
      <c r="K749" s="58"/>
      <c r="L749" s="58"/>
      <c r="O749" s="69"/>
      <c r="P749" s="70"/>
      <c r="Q749" s="71"/>
      <c r="R749" s="70"/>
      <c r="S749" s="70"/>
      <c r="T749" s="70"/>
      <c r="U749" s="72"/>
      <c r="V749" s="73"/>
      <c r="W749" s="94" t="s">
        <v>52</v>
      </c>
      <c r="X749" s="95" t="s">
        <v>48</v>
      </c>
      <c r="Y749" s="95" t="s">
        <v>43</v>
      </c>
      <c r="AB749" s="69"/>
      <c r="AC749" s="70">
        <v>30</v>
      </c>
      <c r="AD749" s="71"/>
      <c r="AE749" s="70"/>
      <c r="AF749" s="70"/>
      <c r="AG749" s="70">
        <v>140</v>
      </c>
      <c r="AH749" s="72" t="s">
        <v>63</v>
      </c>
      <c r="AI749" s="73"/>
      <c r="AJ749" s="89" t="s">
        <v>44</v>
      </c>
      <c r="AK749" s="90" t="s">
        <v>45</v>
      </c>
      <c r="AL749" s="90" t="s">
        <v>46</v>
      </c>
      <c r="AO749" s="69"/>
      <c r="AP749" s="70">
        <v>448</v>
      </c>
      <c r="AQ749" s="85">
        <v>32</v>
      </c>
      <c r="AR749" s="70"/>
      <c r="AS749" s="70"/>
      <c r="AT749" s="70">
        <v>1986</v>
      </c>
      <c r="AU749" s="72" t="s">
        <v>31</v>
      </c>
      <c r="AV749" s="73"/>
      <c r="AW749" s="77"/>
      <c r="AX749" s="58"/>
      <c r="AY749" s="58"/>
    </row>
    <row r="750" spans="2:51">
      <c r="B750" s="59"/>
      <c r="C750" s="60"/>
      <c r="D750" s="88"/>
      <c r="E750" s="62">
        <v>963</v>
      </c>
      <c r="F750" s="61">
        <v>96.3</v>
      </c>
      <c r="G750" s="61"/>
      <c r="H750" s="75"/>
      <c r="I750" s="76"/>
      <c r="J750" s="77"/>
      <c r="K750" s="58"/>
      <c r="L750" s="58"/>
      <c r="O750" s="59"/>
      <c r="P750" s="60"/>
      <c r="Q750" s="61"/>
      <c r="R750" s="62"/>
      <c r="S750" s="61"/>
      <c r="T750" s="61"/>
      <c r="U750" s="75"/>
      <c r="V750" s="76"/>
      <c r="W750" s="77"/>
      <c r="X750" s="77"/>
      <c r="Y750" s="87"/>
      <c r="AB750" s="59"/>
      <c r="AC750" s="60"/>
      <c r="AD750" s="61"/>
      <c r="AE750" s="62">
        <v>653</v>
      </c>
      <c r="AF750" s="61">
        <v>65.3</v>
      </c>
      <c r="AG750" s="61"/>
      <c r="AH750" s="75"/>
      <c r="AI750" s="76"/>
      <c r="AJ750" s="92" t="s">
        <v>47</v>
      </c>
      <c r="AK750" s="93" t="s">
        <v>48</v>
      </c>
      <c r="AL750" s="93" t="s">
        <v>65</v>
      </c>
      <c r="AO750" s="59"/>
      <c r="AP750" s="60"/>
      <c r="AQ750" s="61"/>
      <c r="AR750" s="62">
        <v>278</v>
      </c>
      <c r="AS750" s="61">
        <v>27.8</v>
      </c>
      <c r="AT750" s="61"/>
      <c r="AU750" s="75"/>
      <c r="AV750" s="84"/>
      <c r="AW750" s="77"/>
      <c r="AX750" s="58"/>
      <c r="AY750" s="58"/>
    </row>
    <row r="751" spans="2:51">
      <c r="B751" s="69"/>
      <c r="C751" s="70">
        <v>10</v>
      </c>
      <c r="D751" s="71"/>
      <c r="E751" s="70"/>
      <c r="F751" s="70"/>
      <c r="G751" s="70"/>
      <c r="H751" s="72"/>
      <c r="I751" s="73"/>
      <c r="J751" s="89" t="s">
        <v>44</v>
      </c>
      <c r="K751" s="90" t="s">
        <v>45</v>
      </c>
      <c r="L751" s="90" t="s">
        <v>46</v>
      </c>
      <c r="O751" s="96"/>
      <c r="P751" s="97"/>
      <c r="Q751" s="98"/>
      <c r="R751" s="99"/>
      <c r="S751" s="98"/>
      <c r="T751" s="98"/>
      <c r="U751" s="114"/>
      <c r="V751" s="115"/>
      <c r="AB751" s="69"/>
      <c r="AC751" s="70">
        <v>362</v>
      </c>
      <c r="AD751" s="71">
        <v>38</v>
      </c>
      <c r="AE751" s="70"/>
      <c r="AF751" s="70"/>
      <c r="AG751" s="70"/>
      <c r="AH751" s="72"/>
      <c r="AI751" s="73"/>
      <c r="AJ751" s="94" t="s">
        <v>52</v>
      </c>
      <c r="AK751" s="95" t="s">
        <v>27</v>
      </c>
      <c r="AL751" s="95" t="s">
        <v>43</v>
      </c>
      <c r="AO751" s="69"/>
      <c r="AP751" s="70">
        <v>204</v>
      </c>
      <c r="AQ751" s="85"/>
      <c r="AR751" s="70"/>
      <c r="AS751" s="70"/>
      <c r="AT751" s="70"/>
      <c r="AU751" s="72"/>
      <c r="AV751" s="73"/>
      <c r="AW751" s="89" t="s">
        <v>44</v>
      </c>
      <c r="AX751" s="90" t="s">
        <v>45</v>
      </c>
      <c r="AY751" s="90" t="s">
        <v>46</v>
      </c>
    </row>
    <row r="752" spans="2:51">
      <c r="B752" s="59"/>
      <c r="C752" s="60">
        <v>220</v>
      </c>
      <c r="D752" s="61">
        <v>14</v>
      </c>
      <c r="E752" s="62"/>
      <c r="F752" s="61"/>
      <c r="G752" s="61"/>
      <c r="H752" s="75"/>
      <c r="I752" s="76"/>
      <c r="J752" s="92" t="s">
        <v>47</v>
      </c>
      <c r="K752" s="93" t="s">
        <v>48</v>
      </c>
      <c r="L752" s="93" t="s">
        <v>65</v>
      </c>
      <c r="O752" s="127"/>
      <c r="P752" s="128"/>
      <c r="Q752" s="129"/>
      <c r="R752" s="130"/>
      <c r="S752" s="129"/>
      <c r="T752" s="129"/>
      <c r="U752" s="131"/>
      <c r="V752" s="132"/>
      <c r="AB752" s="59"/>
      <c r="AC752" s="60"/>
      <c r="AD752" s="61"/>
      <c r="AE752" s="62">
        <v>242</v>
      </c>
      <c r="AF752" s="61">
        <v>24.2</v>
      </c>
      <c r="AG752" s="61"/>
      <c r="AH752" s="75"/>
      <c r="AI752" s="76"/>
      <c r="AJ752" s="77"/>
      <c r="AK752" s="77"/>
      <c r="AL752" s="87"/>
      <c r="AO752" s="59"/>
      <c r="AP752" s="60"/>
      <c r="AQ752" s="61"/>
      <c r="AR752" s="62">
        <v>980</v>
      </c>
      <c r="AS752" s="61">
        <v>98</v>
      </c>
      <c r="AT752" s="61"/>
      <c r="AU752" s="75"/>
      <c r="AV752" s="84"/>
      <c r="AW752" s="92" t="s">
        <v>47</v>
      </c>
      <c r="AX752" s="93" t="s">
        <v>48</v>
      </c>
      <c r="AY752" s="93" t="s">
        <v>283</v>
      </c>
    </row>
    <row r="753" ht="15.75" spans="2:51">
      <c r="B753" s="69"/>
      <c r="C753" s="70"/>
      <c r="D753" s="71">
        <v>60</v>
      </c>
      <c r="E753" s="70">
        <v>478</v>
      </c>
      <c r="F753" s="70"/>
      <c r="G753" s="70"/>
      <c r="H753" s="72"/>
      <c r="I753" s="73"/>
      <c r="J753" s="94" t="s">
        <v>52</v>
      </c>
      <c r="K753" s="95" t="s">
        <v>27</v>
      </c>
      <c r="L753" s="95" t="s">
        <v>31</v>
      </c>
      <c r="O753" s="96"/>
      <c r="P753" s="97"/>
      <c r="Q753" s="98"/>
      <c r="R753" s="99"/>
      <c r="S753" s="98"/>
      <c r="T753" s="98"/>
      <c r="U753" s="100"/>
      <c r="V753" s="101"/>
      <c r="AB753" s="69"/>
      <c r="AC753" s="70"/>
      <c r="AD753" s="71"/>
      <c r="AE753" s="70">
        <v>465</v>
      </c>
      <c r="AF753" s="70">
        <v>69.75</v>
      </c>
      <c r="AG753" s="70"/>
      <c r="AH753" s="72"/>
      <c r="AI753" s="73"/>
      <c r="AJ753" s="58"/>
      <c r="AK753" s="58"/>
      <c r="AL753" s="58"/>
      <c r="AO753" s="69"/>
      <c r="AP753" s="70">
        <v>83</v>
      </c>
      <c r="AQ753" s="85"/>
      <c r="AR753" s="70"/>
      <c r="AS753" s="70"/>
      <c r="AT753" s="70"/>
      <c r="AU753" s="72"/>
      <c r="AV753" s="73"/>
      <c r="AW753" s="94" t="s">
        <v>52</v>
      </c>
      <c r="AX753" s="95" t="s">
        <v>27</v>
      </c>
      <c r="AY753" s="95" t="s">
        <v>31</v>
      </c>
    </row>
    <row r="754" ht="15.75" spans="2:51">
      <c r="B754" s="59"/>
      <c r="C754" s="60">
        <v>170</v>
      </c>
      <c r="D754" s="61"/>
      <c r="E754" s="62"/>
      <c r="F754" s="61"/>
      <c r="G754" s="61"/>
      <c r="H754" s="75"/>
      <c r="I754" s="76"/>
      <c r="J754" s="77"/>
      <c r="K754" s="77"/>
      <c r="L754" s="87"/>
      <c r="O754" s="102">
        <f t="shared" ref="O754:T754" si="127">SUM(O738:O753)</f>
        <v>1035</v>
      </c>
      <c r="P754" s="103">
        <f t="shared" si="127"/>
        <v>486</v>
      </c>
      <c r="Q754" s="104">
        <f t="shared" si="127"/>
        <v>25</v>
      </c>
      <c r="R754" s="105">
        <f t="shared" si="127"/>
        <v>2104</v>
      </c>
      <c r="S754" s="106">
        <f t="shared" si="127"/>
        <v>164</v>
      </c>
      <c r="T754" s="107">
        <f t="shared" si="127"/>
        <v>1266</v>
      </c>
      <c r="U754" s="108" t="s">
        <v>54</v>
      </c>
      <c r="V754" s="109"/>
      <c r="AB754" s="59"/>
      <c r="AC754" s="60"/>
      <c r="AD754" s="61"/>
      <c r="AE754" s="62">
        <v>440</v>
      </c>
      <c r="AF754" s="61">
        <v>22</v>
      </c>
      <c r="AG754" s="61"/>
      <c r="AH754" s="75"/>
      <c r="AI754" s="76"/>
      <c r="AJ754" s="58"/>
      <c r="AK754" s="58"/>
      <c r="AL754" s="58"/>
      <c r="AO754" s="59"/>
      <c r="AP754" s="60"/>
      <c r="AQ754" s="61"/>
      <c r="AR754" s="62">
        <v>460</v>
      </c>
      <c r="AS754" s="61">
        <v>92</v>
      </c>
      <c r="AT754" s="61"/>
      <c r="AU754" s="75"/>
      <c r="AV754" s="84"/>
      <c r="AW754" s="77"/>
      <c r="AX754" s="77"/>
      <c r="AY754" s="87"/>
    </row>
    <row r="755" spans="2:51">
      <c r="B755" s="69"/>
      <c r="C755" s="70"/>
      <c r="D755" s="71"/>
      <c r="E755" s="70">
        <v>558</v>
      </c>
      <c r="F755" s="70">
        <v>55.8</v>
      </c>
      <c r="G755" s="70"/>
      <c r="H755" s="72"/>
      <c r="I755" s="73"/>
      <c r="J755" s="58"/>
      <c r="K755" s="58"/>
      <c r="L755" s="58"/>
      <c r="AB755" s="69"/>
      <c r="AC755" s="71">
        <v>273</v>
      </c>
      <c r="AD755" s="71">
        <v>27</v>
      </c>
      <c r="AE755" s="70"/>
      <c r="AF755" s="70"/>
      <c r="AG755" s="70"/>
      <c r="AH755" s="72"/>
      <c r="AI755" s="73"/>
      <c r="AJ755" s="58"/>
      <c r="AK755" s="58"/>
      <c r="AL755" s="58"/>
      <c r="AO755" s="69"/>
      <c r="AP755" s="70"/>
      <c r="AQ755" s="85"/>
      <c r="AR755" s="70">
        <v>291</v>
      </c>
      <c r="AS755" s="70">
        <v>43.65</v>
      </c>
      <c r="AT755" s="70"/>
      <c r="AU755" s="72"/>
      <c r="AV755" s="73"/>
      <c r="AW755" s="58"/>
      <c r="AX755" s="58"/>
      <c r="AY755" s="58"/>
    </row>
    <row r="756" spans="2:51">
      <c r="B756" s="59"/>
      <c r="C756" s="60">
        <v>175</v>
      </c>
      <c r="D756" s="61">
        <v>5</v>
      </c>
      <c r="E756" s="62"/>
      <c r="F756" s="61"/>
      <c r="G756" s="61"/>
      <c r="H756" s="75"/>
      <c r="I756" s="76"/>
      <c r="J756" s="58"/>
      <c r="K756" s="58"/>
      <c r="L756" s="58"/>
      <c r="AB756" s="59"/>
      <c r="AC756" s="61">
        <v>235</v>
      </c>
      <c r="AD756" s="61">
        <v>20</v>
      </c>
      <c r="AE756" s="62"/>
      <c r="AF756" s="61"/>
      <c r="AG756" s="61"/>
      <c r="AH756" s="75"/>
      <c r="AI756" s="76"/>
      <c r="AJ756" s="58"/>
      <c r="AK756" s="58"/>
      <c r="AL756" s="58"/>
      <c r="AO756" s="59"/>
      <c r="AP756" s="60"/>
      <c r="AQ756" s="61"/>
      <c r="AR756" s="62">
        <v>745</v>
      </c>
      <c r="AS756" s="61">
        <v>74.5</v>
      </c>
      <c r="AT756" s="61"/>
      <c r="AU756" s="75"/>
      <c r="AV756" s="84"/>
      <c r="AW756" s="58"/>
      <c r="AX756" s="58"/>
      <c r="AY756" s="58"/>
    </row>
    <row r="757" ht="15.75" spans="2:51">
      <c r="B757" s="69"/>
      <c r="C757" s="71"/>
      <c r="D757" s="71">
        <v>80</v>
      </c>
      <c r="E757" s="70">
        <v>405</v>
      </c>
      <c r="F757" s="70"/>
      <c r="G757" s="70"/>
      <c r="H757" s="72"/>
      <c r="I757" s="73"/>
      <c r="J757" s="58"/>
      <c r="K757" s="58"/>
      <c r="L757" s="58"/>
      <c r="AB757" s="69"/>
      <c r="AC757" s="70">
        <v>603</v>
      </c>
      <c r="AD757" s="71"/>
      <c r="AE757" s="70"/>
      <c r="AF757" s="70"/>
      <c r="AG757" s="70"/>
      <c r="AH757" s="72"/>
      <c r="AI757" s="73"/>
      <c r="AJ757" s="58"/>
      <c r="AK757" s="58"/>
      <c r="AL757" s="58"/>
      <c r="AO757" s="69"/>
      <c r="AP757" s="70">
        <v>50</v>
      </c>
      <c r="AQ757" s="85"/>
      <c r="AR757" s="70"/>
      <c r="AS757" s="70"/>
      <c r="AT757" s="70"/>
      <c r="AU757" s="72"/>
      <c r="AV757" s="73"/>
      <c r="AW757" s="58"/>
      <c r="AX757" s="58"/>
      <c r="AY757" s="58"/>
    </row>
    <row r="758" spans="2:51">
      <c r="B758" s="59"/>
      <c r="C758" s="61"/>
      <c r="D758" s="61"/>
      <c r="E758" s="62"/>
      <c r="F758" s="61"/>
      <c r="G758" s="61"/>
      <c r="H758" s="75"/>
      <c r="I758" s="76"/>
      <c r="J758" s="58"/>
      <c r="K758" s="58"/>
      <c r="L758" s="58"/>
      <c r="O758" s="33" t="s">
        <v>352</v>
      </c>
      <c r="P758" s="34"/>
      <c r="Q758" s="34"/>
      <c r="R758" s="34"/>
      <c r="S758" s="34"/>
      <c r="T758" s="34"/>
      <c r="U758" s="34"/>
      <c r="V758" s="34"/>
      <c r="W758" s="34"/>
      <c r="X758" s="34"/>
      <c r="Y758" s="35"/>
      <c r="AB758" s="59"/>
      <c r="AC758" s="60">
        <v>567</v>
      </c>
      <c r="AD758" s="61">
        <v>33</v>
      </c>
      <c r="AE758" s="62"/>
      <c r="AF758" s="61"/>
      <c r="AG758" s="61"/>
      <c r="AH758" s="75"/>
      <c r="AI758" s="76"/>
      <c r="AJ758" s="58"/>
      <c r="AK758" s="58"/>
      <c r="AL758" s="58"/>
      <c r="AO758" s="59"/>
      <c r="AP758" s="60">
        <v>186</v>
      </c>
      <c r="AQ758" s="61"/>
      <c r="AR758" s="62"/>
      <c r="AS758" s="61"/>
      <c r="AT758" s="61"/>
      <c r="AU758" s="75"/>
      <c r="AV758" s="84"/>
      <c r="AW758" s="58"/>
      <c r="AX758" s="58"/>
      <c r="AY758" s="58"/>
    </row>
    <row r="759" ht="21" customHeight="1" spans="2:51">
      <c r="B759" s="69"/>
      <c r="C759" s="70"/>
      <c r="D759" s="71"/>
      <c r="E759" s="70"/>
      <c r="F759" s="70"/>
      <c r="G759" s="70"/>
      <c r="H759" s="72"/>
      <c r="I759" s="73"/>
      <c r="J759" s="58"/>
      <c r="K759" s="58"/>
      <c r="L759" s="58"/>
      <c r="O759" s="36"/>
      <c r="P759" s="37"/>
      <c r="Q759" s="37"/>
      <c r="R759" s="37"/>
      <c r="S759" s="37"/>
      <c r="T759" s="37"/>
      <c r="U759" s="37"/>
      <c r="V759" s="37"/>
      <c r="W759" s="37"/>
      <c r="X759" s="37"/>
      <c r="Y759" s="38"/>
      <c r="AB759" s="69"/>
      <c r="AC759" s="112"/>
      <c r="AD759" s="71"/>
      <c r="AE759" s="58">
        <v>513</v>
      </c>
      <c r="AF759" s="70">
        <v>51.3</v>
      </c>
      <c r="AG759" s="70"/>
      <c r="AH759" s="72"/>
      <c r="AI759" s="73"/>
      <c r="AJ759" s="58"/>
      <c r="AO759" s="69"/>
      <c r="AP759" s="70">
        <v>619</v>
      </c>
      <c r="AQ759" s="85"/>
      <c r="AR759" s="70"/>
      <c r="AS759" s="70"/>
      <c r="AT759" s="70"/>
      <c r="AU759" s="72"/>
      <c r="AV759" s="73"/>
      <c r="AW759" s="58"/>
      <c r="AX759" s="58"/>
      <c r="AY759" s="58"/>
    </row>
    <row r="760" ht="15.75" spans="2:51">
      <c r="B760" s="59"/>
      <c r="C760" s="60"/>
      <c r="D760" s="61"/>
      <c r="E760" s="62"/>
      <c r="F760" s="61"/>
      <c r="G760" s="61"/>
      <c r="H760" s="75"/>
      <c r="I760" s="76"/>
      <c r="O760" s="39" t="s">
        <v>12</v>
      </c>
      <c r="P760" s="40" t="s">
        <v>13</v>
      </c>
      <c r="Q760" s="41"/>
      <c r="R760" s="42" t="s">
        <v>14</v>
      </c>
      <c r="S760" s="43"/>
      <c r="T760" s="44" t="s">
        <v>15</v>
      </c>
      <c r="U760" s="45"/>
      <c r="V760" s="46"/>
      <c r="W760" s="47" t="s">
        <v>16</v>
      </c>
      <c r="X760" s="48"/>
      <c r="Y760" s="49">
        <f>P778+R778</f>
        <v>2113</v>
      </c>
      <c r="AB760" s="59"/>
      <c r="AC760" s="60">
        <v>24</v>
      </c>
      <c r="AD760" s="61"/>
      <c r="AE760" s="62"/>
      <c r="AF760" s="61"/>
      <c r="AG760" s="61"/>
      <c r="AH760" s="75"/>
      <c r="AI760" s="76"/>
      <c r="AJ760" s="58"/>
      <c r="AO760" s="59"/>
      <c r="AP760" s="60"/>
      <c r="AQ760" s="61"/>
      <c r="AR760" s="62"/>
      <c r="AS760" s="61"/>
      <c r="AT760" s="61"/>
      <c r="AU760" s="75"/>
      <c r="AV760" s="84"/>
      <c r="AW760" s="58"/>
      <c r="AX760" s="58"/>
      <c r="AY760" s="58"/>
    </row>
    <row r="761" ht="15.75" spans="2:51">
      <c r="B761" s="69"/>
      <c r="C761" s="112"/>
      <c r="D761" s="71"/>
      <c r="E761" s="58"/>
      <c r="F761" s="70"/>
      <c r="G761" s="70"/>
      <c r="H761" s="72"/>
      <c r="I761" s="73"/>
      <c r="O761" s="50"/>
      <c r="P761" s="51" t="s">
        <v>17</v>
      </c>
      <c r="Q761" s="51" t="s">
        <v>18</v>
      </c>
      <c r="R761" s="52" t="s">
        <v>17</v>
      </c>
      <c r="S761" s="52" t="s">
        <v>18</v>
      </c>
      <c r="T761" s="53"/>
      <c r="U761" s="54"/>
      <c r="V761" s="55"/>
      <c r="W761" s="56" t="s">
        <v>19</v>
      </c>
      <c r="X761" s="57"/>
      <c r="Y761" s="49">
        <f>Q778+S778</f>
        <v>208.7</v>
      </c>
      <c r="AB761" s="69"/>
      <c r="AC761" s="112">
        <v>23</v>
      </c>
      <c r="AD761" s="71"/>
      <c r="AE761" s="58"/>
      <c r="AF761" s="70"/>
      <c r="AG761" s="70"/>
      <c r="AH761" s="72"/>
      <c r="AI761" s="73"/>
      <c r="AJ761" s="58"/>
      <c r="AO761" s="69"/>
      <c r="AP761" s="70"/>
      <c r="AQ761" s="85"/>
      <c r="AR761" s="70"/>
      <c r="AS761" s="70"/>
      <c r="AT761" s="70"/>
      <c r="AU761" s="72"/>
      <c r="AV761" s="73"/>
      <c r="AW761" s="58"/>
    </row>
    <row r="762" ht="15.75" spans="2:51">
      <c r="B762" s="59"/>
      <c r="C762" s="60"/>
      <c r="D762" s="61"/>
      <c r="E762" s="62"/>
      <c r="F762" s="61"/>
      <c r="G762" s="61"/>
      <c r="H762" s="75"/>
      <c r="I762" s="76"/>
      <c r="O762" s="59">
        <v>1258.5</v>
      </c>
      <c r="P762" s="133">
        <v>8</v>
      </c>
      <c r="Q762" s="61"/>
      <c r="R762" s="60"/>
      <c r="S762" s="61"/>
      <c r="T762" s="61">
        <v>69</v>
      </c>
      <c r="U762" s="63" t="s">
        <v>66</v>
      </c>
      <c r="V762" s="64"/>
      <c r="W762" s="65" t="s">
        <v>21</v>
      </c>
      <c r="X762" s="66"/>
      <c r="Y762" s="67">
        <f>T778</f>
        <v>749</v>
      </c>
      <c r="AB762" s="59"/>
      <c r="AC762" s="60">
        <v>1044</v>
      </c>
      <c r="AD762" s="61">
        <v>56</v>
      </c>
      <c r="AE762" s="62"/>
      <c r="AF762" s="61"/>
      <c r="AG762" s="61"/>
      <c r="AH762" s="75"/>
      <c r="AI762" s="76"/>
      <c r="AJ762" s="58"/>
      <c r="AO762" s="59"/>
      <c r="AP762" s="60"/>
      <c r="AQ762" s="61"/>
      <c r="AR762" s="62"/>
      <c r="AS762" s="61"/>
      <c r="AT762" s="61"/>
      <c r="AU762" s="75"/>
      <c r="AV762" s="84"/>
      <c r="AW762" s="58"/>
    </row>
    <row r="763" ht="15.75" spans="2:51">
      <c r="B763" s="96"/>
      <c r="C763" s="97"/>
      <c r="D763" s="98"/>
      <c r="E763" s="99"/>
      <c r="F763" s="98"/>
      <c r="G763" s="98"/>
      <c r="H763" s="72"/>
      <c r="I763" s="73"/>
      <c r="O763" s="69"/>
      <c r="P763" s="70">
        <v>278</v>
      </c>
      <c r="Q763" s="71">
        <v>20</v>
      </c>
      <c r="R763" s="70"/>
      <c r="S763" s="71"/>
      <c r="T763" s="70">
        <v>43</v>
      </c>
      <c r="U763" s="72" t="s">
        <v>353</v>
      </c>
      <c r="V763" s="73"/>
      <c r="W763" s="74" t="s">
        <v>26</v>
      </c>
      <c r="X763" s="57"/>
      <c r="Y763" s="49">
        <f>O778+Y760+Y761-Y762-R778-S778</f>
        <v>1978.5</v>
      </c>
      <c r="AB763" s="69"/>
      <c r="AC763" s="112">
        <v>8</v>
      </c>
      <c r="AD763" s="71"/>
      <c r="AE763" s="58"/>
      <c r="AF763" s="70"/>
      <c r="AG763" s="70"/>
      <c r="AH763" s="72"/>
      <c r="AI763" s="73"/>
      <c r="AJ763" s="58"/>
      <c r="AO763" s="69"/>
      <c r="AP763" s="70"/>
      <c r="AQ763" s="85"/>
      <c r="AR763" s="70"/>
      <c r="AS763" s="70"/>
      <c r="AT763" s="70"/>
      <c r="AU763" s="72"/>
      <c r="AV763" s="73"/>
      <c r="AW763" s="58"/>
    </row>
    <row r="764" spans="2:51">
      <c r="B764" s="59"/>
      <c r="C764" s="60"/>
      <c r="D764" s="61"/>
      <c r="E764" s="62"/>
      <c r="F764" s="61"/>
      <c r="G764" s="61"/>
      <c r="H764" s="75"/>
      <c r="I764" s="76"/>
      <c r="O764" s="59"/>
      <c r="P764" s="60">
        <v>220</v>
      </c>
      <c r="Q764" s="60">
        <v>30</v>
      </c>
      <c r="R764" s="60"/>
      <c r="S764" s="133"/>
      <c r="T764" s="61">
        <v>637</v>
      </c>
      <c r="U764" s="75" t="s">
        <v>31</v>
      </c>
      <c r="V764" s="76"/>
      <c r="W764" s="77"/>
      <c r="X764" s="78" t="s">
        <v>30</v>
      </c>
      <c r="Y764" s="79">
        <f>Y761/4</f>
        <v>52.175</v>
      </c>
      <c r="AB764" s="59"/>
      <c r="AC764" s="60">
        <v>205</v>
      </c>
      <c r="AD764" s="61">
        <v>45</v>
      </c>
      <c r="AE764" s="62"/>
      <c r="AF764" s="61"/>
      <c r="AG764" s="61"/>
      <c r="AH764" s="75"/>
      <c r="AI764" s="76"/>
      <c r="AJ764" s="58"/>
      <c r="AO764" s="59"/>
      <c r="AP764" s="60"/>
      <c r="AQ764" s="61"/>
      <c r="AR764" s="62"/>
      <c r="AS764" s="61"/>
      <c r="AT764" s="61"/>
      <c r="AU764" s="75"/>
      <c r="AV764" s="76"/>
    </row>
    <row r="765" ht="15.75" spans="2:51">
      <c r="B765" s="59"/>
      <c r="C765" s="60"/>
      <c r="D765" s="61"/>
      <c r="E765" s="62"/>
      <c r="F765" s="61"/>
      <c r="G765" s="61"/>
      <c r="H765" s="75"/>
      <c r="I765" s="76"/>
      <c r="O765" s="69"/>
      <c r="P765" s="70"/>
      <c r="Q765" s="71"/>
      <c r="R765" s="70">
        <v>557</v>
      </c>
      <c r="S765" s="120">
        <v>55.7</v>
      </c>
      <c r="T765" s="70"/>
      <c r="U765" s="72"/>
      <c r="V765" s="73"/>
      <c r="W765" s="77"/>
      <c r="X765" s="80" t="s">
        <v>34</v>
      </c>
      <c r="Y765" s="81">
        <f>Y761/6</f>
        <v>34.7833333333333</v>
      </c>
      <c r="AB765" s="69"/>
      <c r="AC765" s="112"/>
      <c r="AD765" s="71"/>
      <c r="AE765" s="58">
        <v>493</v>
      </c>
      <c r="AF765" s="70">
        <v>49.3</v>
      </c>
      <c r="AG765" s="70"/>
      <c r="AH765" s="72"/>
      <c r="AI765" s="73"/>
      <c r="AJ765" s="58"/>
      <c r="AO765" s="96"/>
      <c r="AP765" s="97"/>
      <c r="AQ765" s="98"/>
      <c r="AR765" s="99"/>
      <c r="AS765" s="98"/>
      <c r="AT765" s="98"/>
      <c r="AU765" s="72"/>
      <c r="AV765" s="73"/>
    </row>
    <row r="766" ht="15.75" spans="2:51">
      <c r="B766" s="69"/>
      <c r="C766" s="112"/>
      <c r="D766" s="71"/>
      <c r="E766" s="58"/>
      <c r="F766" s="70"/>
      <c r="G766" s="70"/>
      <c r="H766" s="72"/>
      <c r="I766" s="73"/>
      <c r="O766" s="59"/>
      <c r="P766" s="133">
        <v>390</v>
      </c>
      <c r="Q766" s="61">
        <v>50</v>
      </c>
      <c r="R766" s="62"/>
      <c r="S766" s="129"/>
      <c r="T766" s="61"/>
      <c r="U766" s="75"/>
      <c r="V766" s="76"/>
      <c r="W766" s="77"/>
      <c r="X766" s="82" t="s">
        <v>37</v>
      </c>
      <c r="Y766" s="83">
        <f>Y761/8</f>
        <v>26.0875</v>
      </c>
      <c r="AB766" s="59"/>
      <c r="AC766" s="60"/>
      <c r="AD766" s="61"/>
      <c r="AE766" s="62">
        <v>587</v>
      </c>
      <c r="AF766" s="61">
        <v>88.05</v>
      </c>
      <c r="AG766" s="61"/>
      <c r="AH766" s="75"/>
      <c r="AI766" s="76"/>
      <c r="AJ766" s="58"/>
      <c r="AO766" s="102">
        <f t="shared" ref="AO766:AT766" si="128">SUM(AO742:AO765)</f>
        <v>2447</v>
      </c>
      <c r="AP766" s="103">
        <f t="shared" si="128"/>
        <v>2448</v>
      </c>
      <c r="AQ766" s="104">
        <f t="shared" si="128"/>
        <v>32</v>
      </c>
      <c r="AR766" s="105">
        <f t="shared" si="128"/>
        <v>3741</v>
      </c>
      <c r="AS766" s="106">
        <f t="shared" si="128"/>
        <v>415.5</v>
      </c>
      <c r="AT766" s="107">
        <f t="shared" si="128"/>
        <v>4688</v>
      </c>
      <c r="AU766" s="108" t="s">
        <v>54</v>
      </c>
      <c r="AV766" s="109"/>
    </row>
    <row r="767" ht="15.75" spans="2:51">
      <c r="B767" s="102">
        <f t="shared" ref="B767:G767" si="129">SUM(B742:B766)</f>
        <v>1349</v>
      </c>
      <c r="C767" s="103">
        <f t="shared" si="129"/>
        <v>1968</v>
      </c>
      <c r="D767" s="104">
        <f t="shared" si="129"/>
        <v>329</v>
      </c>
      <c r="E767" s="105">
        <f t="shared" si="129"/>
        <v>3425</v>
      </c>
      <c r="F767" s="106">
        <f t="shared" si="129"/>
        <v>247.15</v>
      </c>
      <c r="G767" s="107">
        <f t="shared" si="129"/>
        <v>1296</v>
      </c>
      <c r="H767" s="108" t="s">
        <v>54</v>
      </c>
      <c r="I767" s="109"/>
      <c r="O767" s="69"/>
      <c r="P767" s="119"/>
      <c r="Q767" s="85"/>
      <c r="R767" s="70">
        <v>215</v>
      </c>
      <c r="S767" s="70">
        <v>25</v>
      </c>
      <c r="T767" s="70"/>
      <c r="U767" s="72"/>
      <c r="V767" s="73"/>
      <c r="W767" s="86"/>
      <c r="X767" s="77"/>
      <c r="Y767" s="87"/>
      <c r="AB767" s="69"/>
      <c r="AC767" s="112"/>
      <c r="AD767" s="71"/>
      <c r="AE767" s="58"/>
      <c r="AF767" s="70"/>
      <c r="AG767" s="70"/>
      <c r="AH767" s="72"/>
      <c r="AI767" s="73"/>
    </row>
    <row r="768" ht="15.75" spans="2:51">
      <c r="O768" s="59"/>
      <c r="P768" s="60">
        <v>445</v>
      </c>
      <c r="Q768" s="61">
        <v>28</v>
      </c>
      <c r="R768" s="62"/>
      <c r="S768" s="61"/>
      <c r="T768" s="61"/>
      <c r="U768" s="75"/>
      <c r="V768" s="76"/>
      <c r="W768" s="77"/>
      <c r="X768" s="58"/>
      <c r="Y768" s="58"/>
      <c r="AB768" s="59"/>
      <c r="AC768" s="60"/>
      <c r="AD768" s="61"/>
      <c r="AE768" s="62"/>
      <c r="AF768" s="61"/>
      <c r="AG768" s="61"/>
      <c r="AH768" s="75"/>
      <c r="AI768" s="76"/>
    </row>
    <row r="769" ht="15.75" spans="2:51">
      <c r="O769" s="69"/>
      <c r="P769" s="70"/>
      <c r="Q769" s="71"/>
      <c r="R769" s="70"/>
      <c r="S769" s="70"/>
      <c r="T769" s="70"/>
      <c r="U769" s="72"/>
      <c r="V769" s="73"/>
      <c r="W769" s="77"/>
      <c r="X769" s="58"/>
      <c r="Y769" s="58"/>
      <c r="AB769" s="96"/>
      <c r="AC769" s="97"/>
      <c r="AD769" s="98"/>
      <c r="AE769" s="99"/>
      <c r="AF769" s="98"/>
      <c r="AG769" s="98"/>
      <c r="AH769" s="72"/>
      <c r="AI769" s="73"/>
      <c r="AO769" s="33" t="s">
        <v>354</v>
      </c>
      <c r="AP769" s="34"/>
      <c r="AQ769" s="34"/>
      <c r="AR769" s="34"/>
      <c r="AS769" s="34"/>
      <c r="AT769" s="34"/>
      <c r="AU769" s="34"/>
      <c r="AV769" s="34"/>
      <c r="AW769" s="34"/>
      <c r="AX769" s="34"/>
      <c r="AY769" s="35"/>
    </row>
    <row r="770" ht="21" customHeight="1" spans="2:51">
      <c r="B770" s="33" t="s">
        <v>355</v>
      </c>
      <c r="C770" s="34"/>
      <c r="D770" s="34"/>
      <c r="E770" s="34"/>
      <c r="F770" s="34"/>
      <c r="G770" s="34"/>
      <c r="H770" s="34"/>
      <c r="I770" s="34"/>
      <c r="J770" s="34"/>
      <c r="K770" s="34"/>
      <c r="L770" s="35"/>
      <c r="O770" s="59"/>
      <c r="P770" s="60"/>
      <c r="Q770" s="88"/>
      <c r="R770" s="62"/>
      <c r="S770" s="61"/>
      <c r="T770" s="61"/>
      <c r="U770" s="75"/>
      <c r="V770" s="76"/>
      <c r="W770" s="77"/>
      <c r="X770" s="58"/>
      <c r="Y770" s="58"/>
      <c r="AB770" s="59"/>
      <c r="AC770" s="60"/>
      <c r="AD770" s="61"/>
      <c r="AE770" s="62"/>
      <c r="AF770" s="61"/>
      <c r="AG770" s="61"/>
      <c r="AH770" s="75"/>
      <c r="AI770" s="76"/>
      <c r="AO770" s="36"/>
      <c r="AP770" s="37"/>
      <c r="AQ770" s="37"/>
      <c r="AR770" s="37"/>
      <c r="AS770" s="37"/>
      <c r="AT770" s="37"/>
      <c r="AU770" s="37"/>
      <c r="AV770" s="37"/>
      <c r="AW770" s="37"/>
      <c r="AX770" s="37"/>
      <c r="AY770" s="38"/>
    </row>
    <row r="771" ht="15.75" spans="2:51">
      <c r="B771" s="36"/>
      <c r="C771" s="37"/>
      <c r="D771" s="37"/>
      <c r="E771" s="37"/>
      <c r="F771" s="37"/>
      <c r="G771" s="37"/>
      <c r="H771" s="37"/>
      <c r="I771" s="37"/>
      <c r="J771" s="37"/>
      <c r="K771" s="37"/>
      <c r="L771" s="38"/>
      <c r="O771" s="69"/>
      <c r="P771" s="70"/>
      <c r="Q771" s="71"/>
      <c r="R771" s="70"/>
      <c r="S771" s="70"/>
      <c r="T771" s="70"/>
      <c r="U771" s="72"/>
      <c r="V771" s="73"/>
      <c r="W771" s="89" t="s">
        <v>44</v>
      </c>
      <c r="X771" s="90" t="s">
        <v>45</v>
      </c>
      <c r="Y771" s="90" t="s">
        <v>46</v>
      </c>
      <c r="AB771" s="96"/>
      <c r="AC771" s="97"/>
      <c r="AD771" s="98"/>
      <c r="AE771" s="99"/>
      <c r="AF771" s="98"/>
      <c r="AG771" s="98"/>
      <c r="AH771" s="72"/>
      <c r="AI771" s="73"/>
      <c r="AO771" s="39" t="s">
        <v>12</v>
      </c>
      <c r="AP771" s="40" t="s">
        <v>13</v>
      </c>
      <c r="AQ771" s="41"/>
      <c r="AR771" s="42" t="s">
        <v>14</v>
      </c>
      <c r="AS771" s="43"/>
      <c r="AT771" s="44" t="s">
        <v>15</v>
      </c>
      <c r="AU771" s="45"/>
      <c r="AV771" s="46"/>
      <c r="AW771" s="47" t="s">
        <v>16</v>
      </c>
      <c r="AX771" s="48"/>
      <c r="AY771" s="49">
        <f>AP811+AR811</f>
        <v>4667</v>
      </c>
    </row>
    <row r="772" ht="15.75" spans="2:51">
      <c r="B772" s="39" t="s">
        <v>12</v>
      </c>
      <c r="C772" s="40" t="s">
        <v>13</v>
      </c>
      <c r="D772" s="41"/>
      <c r="E772" s="42" t="s">
        <v>14</v>
      </c>
      <c r="F772" s="43"/>
      <c r="G772" s="44" t="s">
        <v>15</v>
      </c>
      <c r="H772" s="45"/>
      <c r="I772" s="46"/>
      <c r="J772" s="47" t="s">
        <v>16</v>
      </c>
      <c r="K772" s="48"/>
      <c r="L772" s="49">
        <f>C801+E801</f>
        <v>13086</v>
      </c>
      <c r="O772" s="59"/>
      <c r="P772" s="60"/>
      <c r="Q772" s="61"/>
      <c r="R772" s="62"/>
      <c r="S772" s="61"/>
      <c r="T772" s="61"/>
      <c r="U772" s="75"/>
      <c r="V772" s="76"/>
      <c r="W772" s="92" t="s">
        <v>47</v>
      </c>
      <c r="X772" s="93" t="s">
        <v>48</v>
      </c>
      <c r="Y772" s="93" t="s">
        <v>65</v>
      </c>
      <c r="AB772" s="59"/>
      <c r="AC772" s="60"/>
      <c r="AD772" s="61"/>
      <c r="AE772" s="62"/>
      <c r="AF772" s="61"/>
      <c r="AG772" s="61"/>
      <c r="AH772" s="75"/>
      <c r="AI772" s="76"/>
      <c r="AO772" s="50"/>
      <c r="AP772" s="51" t="s">
        <v>17</v>
      </c>
      <c r="AQ772" s="51" t="s">
        <v>18</v>
      </c>
      <c r="AR772" s="52" t="s">
        <v>17</v>
      </c>
      <c r="AS772" s="52" t="s">
        <v>18</v>
      </c>
      <c r="AT772" s="53"/>
      <c r="AU772" s="54"/>
      <c r="AV772" s="55"/>
      <c r="AW772" s="56" t="s">
        <v>19</v>
      </c>
      <c r="AX772" s="57"/>
      <c r="AY772" s="49">
        <f>AQ811+AS811</f>
        <v>417.1</v>
      </c>
    </row>
    <row r="773" ht="15.75" spans="2:51">
      <c r="B773" s="50"/>
      <c r="C773" s="51" t="s">
        <v>17</v>
      </c>
      <c r="D773" s="51" t="s">
        <v>18</v>
      </c>
      <c r="E773" s="52" t="s">
        <v>17</v>
      </c>
      <c r="F773" s="52" t="s">
        <v>18</v>
      </c>
      <c r="G773" s="53"/>
      <c r="H773" s="54"/>
      <c r="I773" s="55"/>
      <c r="J773" s="56" t="s">
        <v>19</v>
      </c>
      <c r="K773" s="57"/>
      <c r="L773" s="49">
        <f>D801+F801</f>
        <v>1258.2</v>
      </c>
      <c r="O773" s="69"/>
      <c r="P773" s="70"/>
      <c r="Q773" s="71"/>
      <c r="R773" s="70"/>
      <c r="S773" s="70"/>
      <c r="T773" s="70"/>
      <c r="U773" s="72"/>
      <c r="V773" s="73"/>
      <c r="W773" s="94" t="s">
        <v>52</v>
      </c>
      <c r="X773" s="95" t="s">
        <v>27</v>
      </c>
      <c r="Y773" s="95" t="s">
        <v>65</v>
      </c>
      <c r="AB773" s="96"/>
      <c r="AC773" s="97"/>
      <c r="AD773" s="98"/>
      <c r="AE773" s="99"/>
      <c r="AF773" s="98"/>
      <c r="AG773" s="98"/>
      <c r="AH773" s="72"/>
      <c r="AI773" s="73"/>
      <c r="AO773" s="59">
        <v>502</v>
      </c>
      <c r="AP773" s="68">
        <v>97</v>
      </c>
      <c r="AQ773" s="61">
        <v>0</v>
      </c>
      <c r="AR773" s="62"/>
      <c r="AS773" s="61"/>
      <c r="AT773" s="61">
        <v>25</v>
      </c>
      <c r="AU773" s="63" t="s">
        <v>29</v>
      </c>
      <c r="AV773" s="64"/>
      <c r="AW773" s="65" t="s">
        <v>21</v>
      </c>
      <c r="AX773" s="66"/>
      <c r="AY773" s="67">
        <f>AT811</f>
        <v>2877</v>
      </c>
    </row>
    <row r="774" ht="15.75" spans="2:51">
      <c r="B774" s="59">
        <v>2350</v>
      </c>
      <c r="C774" s="60">
        <v>223</v>
      </c>
      <c r="D774" s="61">
        <v>27</v>
      </c>
      <c r="E774" s="62">
        <v>655</v>
      </c>
      <c r="F774" s="61">
        <v>65.5</v>
      </c>
      <c r="G774" s="61">
        <v>20</v>
      </c>
      <c r="H774" s="63" t="s">
        <v>356</v>
      </c>
      <c r="I774" s="64"/>
      <c r="J774" s="65" t="s">
        <v>21</v>
      </c>
      <c r="K774" s="66"/>
      <c r="L774" s="67">
        <f>G801</f>
        <v>1247.3</v>
      </c>
      <c r="O774" s="59"/>
      <c r="P774" s="60"/>
      <c r="Q774" s="61"/>
      <c r="R774" s="62"/>
      <c r="S774" s="61"/>
      <c r="T774" s="61"/>
      <c r="U774" s="75"/>
      <c r="V774" s="76"/>
      <c r="W774" s="77"/>
      <c r="X774" s="77"/>
      <c r="Y774" s="87"/>
      <c r="AB774" s="59"/>
      <c r="AC774" s="60"/>
      <c r="AD774" s="61"/>
      <c r="AE774" s="62"/>
      <c r="AF774" s="61"/>
      <c r="AG774" s="61"/>
      <c r="AH774" s="75"/>
      <c r="AI774" s="76"/>
      <c r="AO774" s="69"/>
      <c r="AP774" s="70">
        <v>520</v>
      </c>
      <c r="AQ774" s="71">
        <v>60</v>
      </c>
      <c r="AR774" s="70"/>
      <c r="AS774" s="70"/>
      <c r="AT774" s="70">
        <v>25</v>
      </c>
      <c r="AU774" s="72" t="s">
        <v>233</v>
      </c>
      <c r="AV774" s="73"/>
      <c r="AW774" s="74" t="s">
        <v>26</v>
      </c>
      <c r="AX774" s="57"/>
      <c r="AY774" s="49">
        <f>AO811+AY771+AY772-AY773-AR811-AS811</f>
        <v>1399</v>
      </c>
    </row>
    <row r="775" ht="19" customHeight="1" spans="2:51">
      <c r="B775" s="69"/>
      <c r="C775" s="70"/>
      <c r="D775" s="71"/>
      <c r="E775" s="70">
        <v>520</v>
      </c>
      <c r="F775" s="70">
        <v>52</v>
      </c>
      <c r="G775" s="70">
        <v>1000</v>
      </c>
      <c r="H775" s="72" t="s">
        <v>150</v>
      </c>
      <c r="I775" s="73"/>
      <c r="J775" s="74" t="s">
        <v>26</v>
      </c>
      <c r="K775" s="57"/>
      <c r="L775" s="49">
        <f>B801+L772+L773-L774-E801-F801</f>
        <v>3090.7</v>
      </c>
      <c r="O775" s="69"/>
      <c r="P775" s="70"/>
      <c r="Q775" s="71"/>
      <c r="R775" s="70"/>
      <c r="S775" s="70"/>
      <c r="T775" s="70"/>
      <c r="U775" s="72"/>
      <c r="V775" s="73"/>
      <c r="W775" s="58"/>
      <c r="X775" s="58"/>
      <c r="Y775" s="58"/>
      <c r="AB775" s="96"/>
      <c r="AC775" s="97"/>
      <c r="AD775" s="98"/>
      <c r="AE775" s="99"/>
      <c r="AF775" s="98"/>
      <c r="AG775" s="98"/>
      <c r="AH775" s="72"/>
      <c r="AI775" s="73"/>
      <c r="AO775" s="59"/>
      <c r="AP775" s="60">
        <v>220</v>
      </c>
      <c r="AQ775" s="61">
        <v>22</v>
      </c>
      <c r="AR775" s="62"/>
      <c r="AS775" s="61"/>
      <c r="AT775" s="61">
        <v>320</v>
      </c>
      <c r="AU775" s="75" t="s">
        <v>143</v>
      </c>
      <c r="AV775" s="76"/>
      <c r="AW775" s="77"/>
      <c r="AX775" s="78" t="s">
        <v>30</v>
      </c>
      <c r="AY775" s="79">
        <f>AY772/4</f>
        <v>104.275</v>
      </c>
    </row>
    <row r="776" spans="2:51">
      <c r="B776" s="59"/>
      <c r="C776" s="60"/>
      <c r="D776" s="61"/>
      <c r="E776" s="62">
        <v>225</v>
      </c>
      <c r="F776" s="61">
        <v>33.75</v>
      </c>
      <c r="G776" s="61">
        <v>50</v>
      </c>
      <c r="H776" s="75" t="s">
        <v>29</v>
      </c>
      <c r="I776" s="76"/>
      <c r="J776" s="77"/>
      <c r="K776" s="78" t="s">
        <v>30</v>
      </c>
      <c r="L776" s="79">
        <f>L773/4</f>
        <v>314.55</v>
      </c>
      <c r="O776" s="59"/>
      <c r="P776" s="60"/>
      <c r="Q776" s="61"/>
      <c r="R776" s="62"/>
      <c r="S776" s="61"/>
      <c r="T776" s="61"/>
      <c r="U776" s="75"/>
      <c r="V776" s="76"/>
      <c r="AB776" s="59"/>
      <c r="AC776" s="60"/>
      <c r="AD776" s="61"/>
      <c r="AE776" s="62"/>
      <c r="AF776" s="61"/>
      <c r="AG776" s="61"/>
      <c r="AH776" s="75"/>
      <c r="AI776" s="76"/>
      <c r="AO776" s="69"/>
      <c r="AP776" s="70"/>
      <c r="AQ776" s="71"/>
      <c r="AR776" s="70">
        <v>235</v>
      </c>
      <c r="AS776" s="70">
        <v>23.5</v>
      </c>
      <c r="AT776" s="70">
        <v>27</v>
      </c>
      <c r="AU776" s="72" t="s">
        <v>226</v>
      </c>
      <c r="AV776" s="73"/>
      <c r="AW776" s="77"/>
      <c r="AX776" s="80" t="s">
        <v>34</v>
      </c>
      <c r="AY776" s="81">
        <f>AY772/6</f>
        <v>69.5166666666667</v>
      </c>
    </row>
    <row r="777" ht="15.75" spans="2:51">
      <c r="B777" s="69"/>
      <c r="C777" s="70"/>
      <c r="D777" s="71"/>
      <c r="E777" s="70">
        <v>618</v>
      </c>
      <c r="F777" s="70">
        <v>92.7</v>
      </c>
      <c r="G777" s="70">
        <v>27.3</v>
      </c>
      <c r="H777" s="72" t="s">
        <v>357</v>
      </c>
      <c r="I777" s="73"/>
      <c r="J777" s="77"/>
      <c r="K777" s="80" t="s">
        <v>34</v>
      </c>
      <c r="L777" s="81">
        <f>L773/6</f>
        <v>209.7</v>
      </c>
      <c r="O777" s="69"/>
      <c r="P777" s="70"/>
      <c r="Q777" s="71"/>
      <c r="R777" s="70"/>
      <c r="S777" s="70"/>
      <c r="T777" s="70"/>
      <c r="U777" s="72"/>
      <c r="V777" s="73"/>
      <c r="AB777" s="96"/>
      <c r="AC777" s="97"/>
      <c r="AD777" s="98"/>
      <c r="AE777" s="99"/>
      <c r="AF777" s="98"/>
      <c r="AG777" s="98"/>
      <c r="AH777" s="72"/>
      <c r="AI777" s="73"/>
      <c r="AO777" s="59"/>
      <c r="AP777" s="60">
        <v>506</v>
      </c>
      <c r="AQ777" s="61">
        <v>44</v>
      </c>
      <c r="AR777" s="62"/>
      <c r="AS777" s="61"/>
      <c r="AT777" s="61">
        <v>2480</v>
      </c>
      <c r="AU777" s="75" t="s">
        <v>48</v>
      </c>
      <c r="AV777" s="84"/>
      <c r="AW777" s="77"/>
      <c r="AX777" s="82" t="s">
        <v>37</v>
      </c>
      <c r="AY777" s="83">
        <f>AY772/8</f>
        <v>52.1375</v>
      </c>
    </row>
    <row r="778" ht="15.75" spans="2:51">
      <c r="B778" s="59"/>
      <c r="C778" s="60">
        <v>10</v>
      </c>
      <c r="D778" s="61"/>
      <c r="E778" s="62"/>
      <c r="F778" s="61"/>
      <c r="G778" s="61">
        <v>150</v>
      </c>
      <c r="H778" s="75" t="s">
        <v>358</v>
      </c>
      <c r="I778" s="76"/>
      <c r="J778" s="77"/>
      <c r="K778" s="82" t="s">
        <v>37</v>
      </c>
      <c r="L778" s="83">
        <f>L773/8</f>
        <v>157.275</v>
      </c>
      <c r="O778" s="102">
        <f t="shared" ref="O778:T778" si="130">SUM(O762:O777)</f>
        <v>1258.5</v>
      </c>
      <c r="P778" s="103">
        <f t="shared" si="130"/>
        <v>1341</v>
      </c>
      <c r="Q778" s="104">
        <f t="shared" si="130"/>
        <v>128</v>
      </c>
      <c r="R778" s="105">
        <f t="shared" si="130"/>
        <v>772</v>
      </c>
      <c r="S778" s="106">
        <f t="shared" si="130"/>
        <v>80.7</v>
      </c>
      <c r="T778" s="107">
        <f t="shared" si="130"/>
        <v>749</v>
      </c>
      <c r="U778" s="108" t="s">
        <v>54</v>
      </c>
      <c r="V778" s="109"/>
      <c r="AB778" s="102">
        <f t="shared" ref="AB778:AG778" si="131">SUM(AB740:AB777)</f>
        <v>1122</v>
      </c>
      <c r="AC778" s="103">
        <f t="shared" si="131"/>
        <v>5210</v>
      </c>
      <c r="AD778" s="104">
        <f t="shared" si="131"/>
        <v>503</v>
      </c>
      <c r="AE778" s="105">
        <f t="shared" si="131"/>
        <v>5267</v>
      </c>
      <c r="AF778" s="106">
        <f t="shared" si="131"/>
        <v>476.25</v>
      </c>
      <c r="AG778" s="107">
        <f t="shared" si="131"/>
        <v>1895</v>
      </c>
      <c r="AH778" s="108" t="s">
        <v>54</v>
      </c>
      <c r="AI778" s="109"/>
      <c r="AO778" s="69"/>
      <c r="AP778" s="70">
        <v>440</v>
      </c>
      <c r="AQ778" s="85">
        <v>60</v>
      </c>
      <c r="AR778" s="70"/>
      <c r="AS778" s="70"/>
      <c r="AT778" s="70"/>
      <c r="AU778" s="72"/>
      <c r="AV778" s="73"/>
      <c r="AW778" s="86"/>
      <c r="AX778" s="77"/>
      <c r="AY778" s="87"/>
    </row>
    <row r="779" spans="2:51">
      <c r="B779" s="69"/>
      <c r="C779" s="70"/>
      <c r="D779" s="85"/>
      <c r="E779" s="70">
        <v>776</v>
      </c>
      <c r="F779" s="70">
        <v>77.6</v>
      </c>
      <c r="G779" s="70"/>
      <c r="H779" s="72"/>
      <c r="I779" s="73"/>
      <c r="J779" s="86"/>
      <c r="K779" s="77"/>
      <c r="L779" s="87"/>
      <c r="AO779" s="59"/>
      <c r="AP779" s="60"/>
      <c r="AQ779" s="61"/>
      <c r="AR779" s="62">
        <v>794</v>
      </c>
      <c r="AS779" s="61">
        <v>79.4</v>
      </c>
      <c r="AT779" s="61"/>
      <c r="AU779" s="75"/>
      <c r="AV779" s="84"/>
      <c r="AW779" s="77"/>
      <c r="AX779" s="58"/>
      <c r="AY779" s="58"/>
    </row>
    <row r="780" ht="15.75" spans="2:51">
      <c r="B780" s="59"/>
      <c r="C780" s="60"/>
      <c r="D780" s="61"/>
      <c r="E780" s="62">
        <v>513</v>
      </c>
      <c r="F780" s="61">
        <v>76.95</v>
      </c>
      <c r="G780" s="61"/>
      <c r="H780" s="75"/>
      <c r="I780" s="76"/>
      <c r="J780" s="77"/>
      <c r="K780" s="58"/>
      <c r="L780" s="58"/>
      <c r="AO780" s="69"/>
      <c r="AP780" s="70">
        <v>220</v>
      </c>
      <c r="AQ780" s="85">
        <v>20</v>
      </c>
      <c r="AR780" s="70"/>
      <c r="AS780" s="70"/>
      <c r="AT780" s="70"/>
      <c r="AU780" s="72"/>
      <c r="AV780" s="73"/>
      <c r="AW780" s="77"/>
      <c r="AX780" s="58"/>
      <c r="AY780" s="58"/>
    </row>
    <row r="781" spans="2:51">
      <c r="B781" s="69"/>
      <c r="C781" s="70"/>
      <c r="D781" s="71">
        <v>32</v>
      </c>
      <c r="E781" s="70">
        <v>432</v>
      </c>
      <c r="F781" s="70"/>
      <c r="G781" s="70"/>
      <c r="H781" s="72"/>
      <c r="I781" s="73"/>
      <c r="J781" s="77"/>
      <c r="K781" s="58"/>
      <c r="L781" s="58"/>
      <c r="O781" s="33" t="s">
        <v>359</v>
      </c>
      <c r="P781" s="34"/>
      <c r="Q781" s="34"/>
      <c r="R781" s="34"/>
      <c r="S781" s="34"/>
      <c r="T781" s="34"/>
      <c r="U781" s="34"/>
      <c r="V781" s="34"/>
      <c r="W781" s="34"/>
      <c r="X781" s="34"/>
      <c r="Y781" s="35"/>
      <c r="AB781" s="33" t="s">
        <v>360</v>
      </c>
      <c r="AC781" s="34"/>
      <c r="AD781" s="34"/>
      <c r="AE781" s="34"/>
      <c r="AF781" s="34"/>
      <c r="AG781" s="34"/>
      <c r="AH781" s="34"/>
      <c r="AI781" s="34"/>
      <c r="AJ781" s="34"/>
      <c r="AK781" s="34"/>
      <c r="AL781" s="35"/>
      <c r="AO781" s="59"/>
      <c r="AP781" s="60">
        <v>550</v>
      </c>
      <c r="AQ781" s="61">
        <v>20</v>
      </c>
      <c r="AR781" s="62"/>
      <c r="AS781" s="61"/>
      <c r="AT781" s="61"/>
      <c r="AU781" s="75"/>
      <c r="AV781" s="84"/>
      <c r="AW781" s="77"/>
      <c r="AX781" s="58"/>
      <c r="AY781" s="58"/>
    </row>
    <row r="782" ht="15.75" spans="2:51">
      <c r="B782" s="59"/>
      <c r="C782" s="60">
        <v>268</v>
      </c>
      <c r="D782" s="88">
        <v>20</v>
      </c>
      <c r="E782" s="62"/>
      <c r="F782" s="61"/>
      <c r="G782" s="61"/>
      <c r="H782" s="75"/>
      <c r="I782" s="76"/>
      <c r="J782" s="77"/>
      <c r="K782" s="58"/>
      <c r="L782" s="58"/>
      <c r="O782" s="36"/>
      <c r="P782" s="37"/>
      <c r="Q782" s="37"/>
      <c r="R782" s="37"/>
      <c r="S782" s="37"/>
      <c r="T782" s="37"/>
      <c r="U782" s="37"/>
      <c r="V782" s="37"/>
      <c r="W782" s="37"/>
      <c r="X782" s="37"/>
      <c r="Y782" s="38"/>
      <c r="AB782" s="36"/>
      <c r="AC782" s="37"/>
      <c r="AD782" s="37"/>
      <c r="AE782" s="37"/>
      <c r="AF782" s="37"/>
      <c r="AG782" s="37"/>
      <c r="AH782" s="37"/>
      <c r="AI782" s="37"/>
      <c r="AJ782" s="37"/>
      <c r="AK782" s="37"/>
      <c r="AL782" s="38"/>
      <c r="AO782" s="69"/>
      <c r="AP782" s="70"/>
      <c r="AQ782" s="85"/>
      <c r="AR782" s="70">
        <v>162</v>
      </c>
      <c r="AS782" s="70">
        <v>16.2</v>
      </c>
      <c r="AT782" s="70"/>
      <c r="AU782" s="72"/>
      <c r="AV782" s="73"/>
      <c r="AW782" s="89" t="s">
        <v>44</v>
      </c>
      <c r="AX782" s="90" t="s">
        <v>45</v>
      </c>
      <c r="AY782" s="90" t="s">
        <v>46</v>
      </c>
    </row>
    <row r="783" ht="15.75" spans="2:51">
      <c r="B783" s="69"/>
      <c r="C783" s="70"/>
      <c r="D783" s="71"/>
      <c r="E783" s="70">
        <v>175</v>
      </c>
      <c r="F783" s="70">
        <v>17.5</v>
      </c>
      <c r="G783" s="70"/>
      <c r="H783" s="72"/>
      <c r="I783" s="73"/>
      <c r="J783" s="89" t="s">
        <v>44</v>
      </c>
      <c r="K783" s="90" t="s">
        <v>45</v>
      </c>
      <c r="L783" s="90" t="s">
        <v>46</v>
      </c>
      <c r="O783" s="39" t="s">
        <v>12</v>
      </c>
      <c r="P783" s="40" t="s">
        <v>13</v>
      </c>
      <c r="Q783" s="41"/>
      <c r="R783" s="42" t="s">
        <v>14</v>
      </c>
      <c r="S783" s="43"/>
      <c r="T783" s="44" t="s">
        <v>15</v>
      </c>
      <c r="U783" s="45"/>
      <c r="V783" s="46"/>
      <c r="W783" s="47" t="s">
        <v>16</v>
      </c>
      <c r="X783" s="48"/>
      <c r="Y783" s="49">
        <f>P802+R802</f>
        <v>4117</v>
      </c>
      <c r="AB783" s="39" t="s">
        <v>12</v>
      </c>
      <c r="AC783" s="40" t="s">
        <v>13</v>
      </c>
      <c r="AD783" s="41"/>
      <c r="AE783" s="42" t="s">
        <v>14</v>
      </c>
      <c r="AF783" s="43"/>
      <c r="AG783" s="44" t="s">
        <v>15</v>
      </c>
      <c r="AH783" s="45"/>
      <c r="AI783" s="46"/>
      <c r="AJ783" s="47" t="s">
        <v>16</v>
      </c>
      <c r="AK783" s="48"/>
      <c r="AL783" s="49">
        <f>AC803+AE803</f>
        <v>4573</v>
      </c>
      <c r="AO783" s="59"/>
      <c r="AP783" s="60">
        <v>283</v>
      </c>
      <c r="AQ783" s="61">
        <v>37</v>
      </c>
      <c r="AR783" s="62"/>
      <c r="AS783" s="61"/>
      <c r="AT783" s="61"/>
      <c r="AU783" s="75"/>
      <c r="AV783" s="84"/>
      <c r="AW783" s="92" t="s">
        <v>47</v>
      </c>
      <c r="AX783" s="93" t="s">
        <v>27</v>
      </c>
      <c r="AY783" s="93" t="s">
        <v>66</v>
      </c>
    </row>
    <row r="784" ht="15.75" spans="2:51">
      <c r="B784" s="59"/>
      <c r="C784" s="60"/>
      <c r="D784" s="61"/>
      <c r="E784" s="62">
        <v>160</v>
      </c>
      <c r="F784" s="61">
        <v>16</v>
      </c>
      <c r="G784" s="61"/>
      <c r="H784" s="75"/>
      <c r="I784" s="76"/>
      <c r="J784" s="92" t="s">
        <v>47</v>
      </c>
      <c r="K784" s="93" t="s">
        <v>48</v>
      </c>
      <c r="L784" s="93" t="s">
        <v>43</v>
      </c>
      <c r="O784" s="50"/>
      <c r="P784" s="51" t="s">
        <v>17</v>
      </c>
      <c r="Q784" s="51" t="s">
        <v>18</v>
      </c>
      <c r="R784" s="52" t="s">
        <v>17</v>
      </c>
      <c r="S784" s="52" t="s">
        <v>18</v>
      </c>
      <c r="T784" s="53"/>
      <c r="U784" s="54"/>
      <c r="V784" s="55"/>
      <c r="W784" s="56" t="s">
        <v>19</v>
      </c>
      <c r="X784" s="57"/>
      <c r="Y784" s="49">
        <f>Q802+S802</f>
        <v>397.8</v>
      </c>
      <c r="AB784" s="50"/>
      <c r="AC784" s="51" t="s">
        <v>17</v>
      </c>
      <c r="AD784" s="51" t="s">
        <v>18</v>
      </c>
      <c r="AE784" s="52" t="s">
        <v>17</v>
      </c>
      <c r="AF784" s="52" t="s">
        <v>18</v>
      </c>
      <c r="AG784" s="53"/>
      <c r="AH784" s="54"/>
      <c r="AI784" s="55"/>
      <c r="AJ784" s="56" t="s">
        <v>19</v>
      </c>
      <c r="AK784" s="57"/>
      <c r="AL784" s="49">
        <f>AD803+AF803</f>
        <v>334</v>
      </c>
      <c r="AO784" s="69"/>
      <c r="AP784" s="70">
        <v>465</v>
      </c>
      <c r="AQ784" s="85">
        <v>35</v>
      </c>
      <c r="AR784" s="70"/>
      <c r="AS784" s="70"/>
      <c r="AT784" s="70"/>
      <c r="AU784" s="72"/>
      <c r="AV784" s="73"/>
      <c r="AW784" s="94" t="s">
        <v>52</v>
      </c>
      <c r="AX784" s="95" t="s">
        <v>48</v>
      </c>
      <c r="AY784" s="95" t="s">
        <v>65</v>
      </c>
    </row>
    <row r="785" ht="15.75" spans="2:51">
      <c r="B785" s="69"/>
      <c r="C785" s="70">
        <v>503</v>
      </c>
      <c r="D785" s="71">
        <v>52</v>
      </c>
      <c r="E785" s="70"/>
      <c r="F785" s="70"/>
      <c r="G785" s="70"/>
      <c r="H785" s="72"/>
      <c r="I785" s="73"/>
      <c r="J785" s="94" t="s">
        <v>52</v>
      </c>
      <c r="K785" s="95" t="s">
        <v>27</v>
      </c>
      <c r="L785" s="95" t="s">
        <v>65</v>
      </c>
      <c r="O785" s="59">
        <v>1995</v>
      </c>
      <c r="P785" s="133">
        <v>362</v>
      </c>
      <c r="Q785" s="61">
        <v>38</v>
      </c>
      <c r="R785" s="60"/>
      <c r="S785" s="61"/>
      <c r="T785" s="61">
        <v>30</v>
      </c>
      <c r="U785" s="63" t="s">
        <v>60</v>
      </c>
      <c r="V785" s="64"/>
      <c r="W785" s="65" t="s">
        <v>21</v>
      </c>
      <c r="X785" s="66"/>
      <c r="Y785" s="67">
        <f>T802</f>
        <v>2060</v>
      </c>
      <c r="AB785" s="59">
        <v>740</v>
      </c>
      <c r="AC785" s="68"/>
      <c r="AD785" s="61"/>
      <c r="AE785" s="62">
        <v>549</v>
      </c>
      <c r="AF785" s="61">
        <v>54.9</v>
      </c>
      <c r="AG785" s="61">
        <v>15</v>
      </c>
      <c r="AH785" s="63" t="s">
        <v>361</v>
      </c>
      <c r="AI785" s="64"/>
      <c r="AJ785" s="65" t="s">
        <v>21</v>
      </c>
      <c r="AK785" s="66"/>
      <c r="AL785" s="67">
        <f>AG803</f>
        <v>367</v>
      </c>
      <c r="AO785" s="59"/>
      <c r="AP785" s="60">
        <v>175</v>
      </c>
      <c r="AQ785" s="61"/>
      <c r="AR785" s="62"/>
      <c r="AS785" s="61"/>
      <c r="AT785" s="61"/>
      <c r="AU785" s="75"/>
      <c r="AV785" s="84"/>
      <c r="AW785" s="77"/>
      <c r="AX785" s="77"/>
      <c r="AY785" s="87"/>
    </row>
    <row r="786" ht="15.75" spans="2:51">
      <c r="B786" s="59"/>
      <c r="C786" s="60"/>
      <c r="D786" s="61"/>
      <c r="E786" s="62">
        <v>1333</v>
      </c>
      <c r="F786" s="61">
        <v>133</v>
      </c>
      <c r="G786" s="61"/>
      <c r="H786" s="75"/>
      <c r="I786" s="76"/>
      <c r="J786" s="77"/>
      <c r="K786" s="77"/>
      <c r="L786" s="87"/>
      <c r="O786" s="69"/>
      <c r="P786" s="70"/>
      <c r="Q786" s="71"/>
      <c r="R786" s="70">
        <v>432</v>
      </c>
      <c r="S786" s="71">
        <v>68</v>
      </c>
      <c r="T786" s="70">
        <v>30</v>
      </c>
      <c r="U786" s="72" t="s">
        <v>29</v>
      </c>
      <c r="V786" s="73"/>
      <c r="W786" s="74" t="s">
        <v>26</v>
      </c>
      <c r="X786" s="57"/>
      <c r="Y786" s="49">
        <f>O802+Y783+Y784-Y785-R802-S802</f>
        <v>2313</v>
      </c>
      <c r="AB786" s="69"/>
      <c r="AC786" s="70"/>
      <c r="AD786" s="71"/>
      <c r="AE786" s="70">
        <v>108</v>
      </c>
      <c r="AF786" s="70"/>
      <c r="AG786" s="70">
        <v>56</v>
      </c>
      <c r="AH786" s="72" t="s">
        <v>78</v>
      </c>
      <c r="AI786" s="73"/>
      <c r="AJ786" s="74" t="s">
        <v>26</v>
      </c>
      <c r="AK786" s="57"/>
      <c r="AL786" s="49">
        <f>AB803+AL783+AL784-AL785-AE803-AF803</f>
        <v>1933</v>
      </c>
      <c r="AO786" s="69"/>
      <c r="AP786" s="70"/>
      <c r="AQ786" s="85"/>
      <c r="AR786" s="70"/>
      <c r="AS786" s="70"/>
      <c r="AT786" s="70"/>
      <c r="AU786" s="72"/>
      <c r="AV786" s="73"/>
      <c r="AW786" s="58"/>
      <c r="AX786" s="58"/>
      <c r="AY786" s="58"/>
    </row>
    <row r="787" spans="2:51">
      <c r="B787" s="69"/>
      <c r="C787" s="70">
        <v>242</v>
      </c>
      <c r="D787" s="71">
        <v>28</v>
      </c>
      <c r="E787" s="70"/>
      <c r="F787" s="70"/>
      <c r="G787" s="70"/>
      <c r="H787" s="72"/>
      <c r="I787" s="73"/>
      <c r="J787" s="58"/>
      <c r="K787" s="58"/>
      <c r="L787" s="58"/>
      <c r="O787" s="59"/>
      <c r="P787" s="60"/>
      <c r="Q787" s="60"/>
      <c r="R787" s="60">
        <v>568</v>
      </c>
      <c r="S787" s="133">
        <v>56.8</v>
      </c>
      <c r="T787" s="61">
        <v>2000</v>
      </c>
      <c r="U787" s="75" t="s">
        <v>105</v>
      </c>
      <c r="V787" s="76"/>
      <c r="W787" s="77"/>
      <c r="X787" s="78" t="s">
        <v>30</v>
      </c>
      <c r="Y787" s="79">
        <f>Y784/4</f>
        <v>99.45</v>
      </c>
      <c r="AB787" s="59"/>
      <c r="AC787" s="60"/>
      <c r="AD787" s="61"/>
      <c r="AE787" s="62">
        <v>593</v>
      </c>
      <c r="AF787" s="61">
        <v>59.3</v>
      </c>
      <c r="AG787" s="61">
        <v>266</v>
      </c>
      <c r="AH787" s="75" t="s">
        <v>65</v>
      </c>
      <c r="AI787" s="76"/>
      <c r="AJ787" s="77"/>
      <c r="AK787" s="78" t="s">
        <v>30</v>
      </c>
      <c r="AL787" s="79">
        <f>AL784/4</f>
        <v>83.5</v>
      </c>
      <c r="AO787" s="59"/>
      <c r="AP787" s="60"/>
      <c r="AQ787" s="61"/>
      <c r="AR787" s="62"/>
      <c r="AS787" s="61"/>
      <c r="AT787" s="61"/>
      <c r="AU787" s="75"/>
      <c r="AV787" s="84"/>
      <c r="AW787" s="58"/>
      <c r="AX787" s="58"/>
      <c r="AY787" s="58"/>
    </row>
    <row r="788" spans="2:51">
      <c r="B788" s="59"/>
      <c r="C788" s="60"/>
      <c r="D788" s="61"/>
      <c r="E788" s="62">
        <v>1615</v>
      </c>
      <c r="F788" s="61">
        <v>161.5</v>
      </c>
      <c r="G788" s="61"/>
      <c r="H788" s="75"/>
      <c r="I788" s="76"/>
      <c r="J788" s="58"/>
      <c r="K788" s="58"/>
      <c r="L788" s="58"/>
      <c r="O788" s="69"/>
      <c r="P788" s="70">
        <v>110</v>
      </c>
      <c r="Q788" s="71">
        <v>10</v>
      </c>
      <c r="R788" s="70"/>
      <c r="S788" s="120"/>
      <c r="T788" s="70"/>
      <c r="U788" s="72"/>
      <c r="V788" s="73"/>
      <c r="W788" s="77"/>
      <c r="X788" s="80" t="s">
        <v>34</v>
      </c>
      <c r="Y788" s="81">
        <f>Y784/6</f>
        <v>66.3</v>
      </c>
      <c r="AB788" s="69"/>
      <c r="AC788" s="70"/>
      <c r="AD788" s="71"/>
      <c r="AE788" s="70">
        <v>580</v>
      </c>
      <c r="AF788" s="70">
        <v>58</v>
      </c>
      <c r="AG788" s="70">
        <v>30</v>
      </c>
      <c r="AH788" s="72" t="s">
        <v>29</v>
      </c>
      <c r="AI788" s="73"/>
      <c r="AJ788" s="77"/>
      <c r="AK788" s="80" t="s">
        <v>34</v>
      </c>
      <c r="AL788" s="81">
        <f>AL784/6</f>
        <v>55.6666666666667</v>
      </c>
      <c r="AO788" s="69"/>
      <c r="AP788" s="70"/>
      <c r="AQ788" s="85"/>
      <c r="AR788" s="70"/>
      <c r="AS788" s="70"/>
      <c r="AT788" s="70"/>
      <c r="AU788" s="72"/>
      <c r="AV788" s="73"/>
      <c r="AW788" s="58"/>
      <c r="AX788" s="58"/>
      <c r="AY788" s="58"/>
    </row>
    <row r="789" spans="2:51">
      <c r="B789" s="69"/>
      <c r="C789" s="71">
        <v>213</v>
      </c>
      <c r="D789" s="71">
        <v>7</v>
      </c>
      <c r="E789" s="70"/>
      <c r="F789" s="70"/>
      <c r="G789" s="70"/>
      <c r="H789" s="72"/>
      <c r="I789" s="73"/>
      <c r="J789" s="58"/>
      <c r="K789" s="58"/>
      <c r="L789" s="58"/>
      <c r="O789" s="59"/>
      <c r="P789" s="133">
        <v>220</v>
      </c>
      <c r="Q789" s="61">
        <v>25</v>
      </c>
      <c r="R789" s="62"/>
      <c r="S789" s="129"/>
      <c r="T789" s="61"/>
      <c r="U789" s="75"/>
      <c r="V789" s="76"/>
      <c r="W789" s="77"/>
      <c r="X789" s="82" t="s">
        <v>37</v>
      </c>
      <c r="Y789" s="83">
        <f>Y784/8</f>
        <v>49.725</v>
      </c>
      <c r="AB789" s="59"/>
      <c r="AC789" s="60"/>
      <c r="AD789" s="61"/>
      <c r="AE789" s="62">
        <v>290</v>
      </c>
      <c r="AF789" s="61">
        <v>43.5</v>
      </c>
      <c r="AG789" s="61"/>
      <c r="AH789" s="75"/>
      <c r="AI789" s="84"/>
      <c r="AJ789" s="77"/>
      <c r="AK789" s="82" t="s">
        <v>37</v>
      </c>
      <c r="AL789" s="83">
        <f>AL784/8</f>
        <v>41.75</v>
      </c>
      <c r="AO789" s="59"/>
      <c r="AP789" s="60"/>
      <c r="AQ789" s="61"/>
      <c r="AR789" s="62"/>
      <c r="AS789" s="61"/>
      <c r="AT789" s="61"/>
      <c r="AU789" s="75"/>
      <c r="AV789" s="84"/>
      <c r="AW789" s="58"/>
      <c r="AX789" s="58"/>
      <c r="AY789" s="58"/>
    </row>
    <row r="790" spans="2:51">
      <c r="B790" s="59"/>
      <c r="C790" s="61">
        <v>100</v>
      </c>
      <c r="D790" s="61"/>
      <c r="E790" s="62"/>
      <c r="F790" s="61"/>
      <c r="G790" s="61"/>
      <c r="H790" s="75"/>
      <c r="I790" s="76"/>
      <c r="J790" s="58"/>
      <c r="K790" s="58"/>
      <c r="L790" s="58"/>
      <c r="O790" s="69"/>
      <c r="P790" s="119">
        <v>367</v>
      </c>
      <c r="Q790" s="85">
        <v>33</v>
      </c>
      <c r="R790" s="70"/>
      <c r="S790" s="70"/>
      <c r="T790" s="70"/>
      <c r="U790" s="72"/>
      <c r="V790" s="73"/>
      <c r="W790" s="86"/>
      <c r="X790" s="77"/>
      <c r="Y790" s="87"/>
      <c r="AB790" s="69"/>
      <c r="AC790" s="70">
        <v>1544</v>
      </c>
      <c r="AD790" s="85">
        <v>16</v>
      </c>
      <c r="AE790" s="70"/>
      <c r="AF790" s="70"/>
      <c r="AG790" s="70"/>
      <c r="AH790" s="72"/>
      <c r="AI790" s="73"/>
      <c r="AJ790" s="86"/>
      <c r="AK790" s="77"/>
      <c r="AL790" s="87"/>
      <c r="AO790" s="69"/>
      <c r="AP790" s="70"/>
      <c r="AQ790" s="85"/>
      <c r="AR790" s="70"/>
      <c r="AS790" s="70"/>
      <c r="AT790" s="70"/>
      <c r="AU790" s="72"/>
      <c r="AV790" s="73"/>
      <c r="AW790" s="58"/>
      <c r="AX790" s="58"/>
      <c r="AY790" s="58"/>
    </row>
    <row r="791" spans="2:51">
      <c r="B791" s="69"/>
      <c r="C791" s="70"/>
      <c r="D791" s="71"/>
      <c r="E791" s="70">
        <v>607</v>
      </c>
      <c r="F791" s="70">
        <v>60.7</v>
      </c>
      <c r="G791" s="70"/>
      <c r="H791" s="72"/>
      <c r="I791" s="73"/>
      <c r="J791" s="58"/>
      <c r="K791" s="58"/>
      <c r="L791" s="58"/>
      <c r="O791" s="59"/>
      <c r="P791" s="60"/>
      <c r="Q791" s="61"/>
      <c r="R791" s="62">
        <v>750</v>
      </c>
      <c r="S791" s="61">
        <v>75</v>
      </c>
      <c r="T791" s="61"/>
      <c r="U791" s="75"/>
      <c r="V791" s="76"/>
      <c r="W791" s="77"/>
      <c r="X791" s="58"/>
      <c r="Y791" s="58"/>
      <c r="AB791" s="59"/>
      <c r="AC791" s="60"/>
      <c r="AD791" s="61"/>
      <c r="AE791" s="62">
        <v>267</v>
      </c>
      <c r="AF791" s="61"/>
      <c r="AG791" s="61"/>
      <c r="AH791" s="75"/>
      <c r="AI791" s="76"/>
      <c r="AJ791" s="77"/>
      <c r="AK791" s="58"/>
      <c r="AL791" s="58"/>
      <c r="AO791" s="59"/>
      <c r="AP791" s="60"/>
      <c r="AQ791" s="61"/>
      <c r="AR791" s="62"/>
      <c r="AS791" s="61"/>
      <c r="AT791" s="61"/>
      <c r="AU791" s="75"/>
      <c r="AV791" s="84"/>
      <c r="AW791" s="58"/>
      <c r="AX791" s="58"/>
      <c r="AY791" s="58"/>
    </row>
    <row r="792" spans="2:51">
      <c r="B792" s="59"/>
      <c r="C792" s="60"/>
      <c r="D792" s="61"/>
      <c r="E792" s="62">
        <v>465</v>
      </c>
      <c r="F792" s="61"/>
      <c r="G792" s="61"/>
      <c r="H792" s="75"/>
      <c r="I792" s="76"/>
      <c r="O792" s="69"/>
      <c r="P792" s="70">
        <v>558</v>
      </c>
      <c r="Q792" s="71">
        <v>42</v>
      </c>
      <c r="R792" s="70"/>
      <c r="S792" s="70"/>
      <c r="T792" s="70"/>
      <c r="U792" s="72"/>
      <c r="V792" s="73"/>
      <c r="W792" s="77"/>
      <c r="X792" s="58"/>
      <c r="Y792" s="58"/>
      <c r="AB792" s="69"/>
      <c r="AC792" s="70"/>
      <c r="AD792" s="71"/>
      <c r="AE792" s="70">
        <v>242</v>
      </c>
      <c r="AF792" s="70">
        <v>42.3</v>
      </c>
      <c r="AG792" s="70"/>
      <c r="AH792" s="72"/>
      <c r="AI792" s="73"/>
      <c r="AJ792" s="77"/>
      <c r="AK792" s="58"/>
      <c r="AL792" s="58"/>
      <c r="AO792" s="69"/>
      <c r="AP792" s="70"/>
      <c r="AQ792" s="85"/>
      <c r="AR792" s="70"/>
      <c r="AS792" s="70"/>
      <c r="AT792" s="70"/>
      <c r="AU792" s="72"/>
      <c r="AV792" s="73"/>
      <c r="AW792" s="58"/>
    </row>
    <row r="793" spans="2:51">
      <c r="B793" s="69"/>
      <c r="C793" s="112"/>
      <c r="D793" s="71"/>
      <c r="E793" s="58">
        <v>1009</v>
      </c>
      <c r="F793" s="70">
        <v>100.9</v>
      </c>
      <c r="G793" s="70"/>
      <c r="H793" s="72"/>
      <c r="I793" s="73"/>
      <c r="O793" s="59"/>
      <c r="P793" s="60">
        <v>387</v>
      </c>
      <c r="Q793" s="88">
        <v>50</v>
      </c>
      <c r="R793" s="62"/>
      <c r="S793" s="61"/>
      <c r="T793" s="61"/>
      <c r="U793" s="75"/>
      <c r="V793" s="76"/>
      <c r="W793" s="77"/>
      <c r="X793" s="58"/>
      <c r="Y793" s="58"/>
      <c r="AB793" s="59"/>
      <c r="AC793" s="60"/>
      <c r="AD793" s="88"/>
      <c r="AE793" s="62">
        <v>400</v>
      </c>
      <c r="AF793" s="61">
        <v>60</v>
      </c>
      <c r="AG793" s="61"/>
      <c r="AH793" s="75"/>
      <c r="AI793" s="76"/>
      <c r="AJ793" s="77"/>
      <c r="AK793" s="58"/>
      <c r="AL793" s="58"/>
      <c r="AO793" s="59"/>
      <c r="AP793" s="60"/>
      <c r="AQ793" s="61"/>
      <c r="AR793" s="62"/>
      <c r="AS793" s="61"/>
      <c r="AT793" s="61"/>
      <c r="AU793" s="75"/>
      <c r="AV793" s="84"/>
      <c r="AW793" s="58"/>
    </row>
    <row r="794" spans="2:51">
      <c r="B794" s="59"/>
      <c r="C794" s="60"/>
      <c r="D794" s="61"/>
      <c r="E794" s="62">
        <v>120</v>
      </c>
      <c r="F794" s="61"/>
      <c r="G794" s="61"/>
      <c r="H794" s="75"/>
      <c r="I794" s="76"/>
      <c r="O794" s="69"/>
      <c r="P794" s="70">
        <v>176</v>
      </c>
      <c r="Q794" s="71"/>
      <c r="R794" s="70"/>
      <c r="S794" s="70"/>
      <c r="T794" s="70"/>
      <c r="U794" s="72"/>
      <c r="V794" s="73"/>
      <c r="W794" s="89" t="s">
        <v>44</v>
      </c>
      <c r="X794" s="90" t="s">
        <v>45</v>
      </c>
      <c r="Y794" s="90" t="s">
        <v>46</v>
      </c>
      <c r="AB794" s="69"/>
      <c r="AC794" s="70"/>
      <c r="AD794" s="71"/>
      <c r="AE794" s="70"/>
      <c r="AF794" s="70"/>
      <c r="AG794" s="70"/>
      <c r="AH794" s="72"/>
      <c r="AI794" s="73"/>
      <c r="AJ794" s="89" t="s">
        <v>44</v>
      </c>
      <c r="AK794" s="90" t="s">
        <v>45</v>
      </c>
      <c r="AL794" s="90" t="s">
        <v>46</v>
      </c>
      <c r="AO794" s="69"/>
      <c r="AP794" s="70"/>
      <c r="AQ794" s="85"/>
      <c r="AR794" s="70"/>
      <c r="AS794" s="70"/>
      <c r="AT794" s="70"/>
      <c r="AU794" s="72"/>
      <c r="AV794" s="73"/>
      <c r="AW794" s="58"/>
    </row>
    <row r="795" spans="2:51">
      <c r="B795" s="96"/>
      <c r="C795" s="97">
        <v>196</v>
      </c>
      <c r="D795" s="98"/>
      <c r="E795" s="99">
        <v>598</v>
      </c>
      <c r="F795" s="98">
        <v>59.8</v>
      </c>
      <c r="G795" s="98"/>
      <c r="H795" s="72"/>
      <c r="I795" s="73"/>
      <c r="O795" s="59"/>
      <c r="P795" s="60"/>
      <c r="Q795" s="61"/>
      <c r="R795" s="62">
        <v>187</v>
      </c>
      <c r="S795" s="61"/>
      <c r="T795" s="61"/>
      <c r="U795" s="75"/>
      <c r="V795" s="76"/>
      <c r="W795" s="92" t="s">
        <v>47</v>
      </c>
      <c r="X795" s="93" t="s">
        <v>48</v>
      </c>
      <c r="Y795" s="93" t="s">
        <v>65</v>
      </c>
      <c r="AB795" s="59"/>
      <c r="AC795" s="60"/>
      <c r="AD795" s="61"/>
      <c r="AE795" s="62"/>
      <c r="AF795" s="61"/>
      <c r="AG795" s="61"/>
      <c r="AH795" s="75"/>
      <c r="AI795" s="76"/>
      <c r="AJ795" s="92" t="s">
        <v>47</v>
      </c>
      <c r="AK795" s="93" t="s">
        <v>48</v>
      </c>
      <c r="AL795" s="93" t="s">
        <v>65</v>
      </c>
      <c r="AO795" s="59"/>
      <c r="AP795" s="60"/>
      <c r="AQ795" s="61"/>
      <c r="AR795" s="62"/>
      <c r="AS795" s="61"/>
      <c r="AT795" s="61"/>
      <c r="AU795" s="75"/>
      <c r="AV795" s="84"/>
      <c r="AW795" s="58"/>
    </row>
    <row r="796" spans="2:51">
      <c r="B796" s="59"/>
      <c r="C796" s="60"/>
      <c r="D796" s="61"/>
      <c r="E796" s="62">
        <v>525</v>
      </c>
      <c r="F796" s="61">
        <v>52.5</v>
      </c>
      <c r="G796" s="61"/>
      <c r="H796" s="75"/>
      <c r="I796" s="76"/>
      <c r="O796" s="69"/>
      <c r="P796" s="70"/>
      <c r="Q796" s="71"/>
      <c r="R796" s="70"/>
      <c r="S796" s="70"/>
      <c r="T796" s="70"/>
      <c r="U796" s="72"/>
      <c r="V796" s="73"/>
      <c r="W796" s="94" t="s">
        <v>52</v>
      </c>
      <c r="X796" s="95" t="s">
        <v>27</v>
      </c>
      <c r="Y796" s="95" t="s">
        <v>65</v>
      </c>
      <c r="AB796" s="69"/>
      <c r="AC796" s="70"/>
      <c r="AD796" s="71"/>
      <c r="AE796" s="70"/>
      <c r="AF796" s="70"/>
      <c r="AG796" s="70"/>
      <c r="AH796" s="72"/>
      <c r="AI796" s="73"/>
      <c r="AJ796" s="94" t="s">
        <v>52</v>
      </c>
      <c r="AK796" s="95" t="s">
        <v>27</v>
      </c>
      <c r="AL796" s="95" t="s">
        <v>43</v>
      </c>
      <c r="AO796" s="69"/>
      <c r="AP796" s="112"/>
      <c r="AQ796" s="71"/>
      <c r="AR796" s="58"/>
      <c r="AS796" s="70"/>
      <c r="AT796" s="70"/>
      <c r="AU796" s="72"/>
      <c r="AV796" s="73"/>
      <c r="AW796" s="58"/>
    </row>
    <row r="797" spans="2:51">
      <c r="B797" s="118"/>
      <c r="C797" s="119"/>
      <c r="D797" s="120"/>
      <c r="E797" s="121">
        <v>453</v>
      </c>
      <c r="F797" s="120">
        <v>45.3</v>
      </c>
      <c r="G797" s="120"/>
      <c r="H797" s="122"/>
      <c r="I797" s="123"/>
      <c r="O797" s="59"/>
      <c r="P797" s="60"/>
      <c r="Q797" s="61"/>
      <c r="R797" s="62"/>
      <c r="S797" s="61"/>
      <c r="T797" s="61"/>
      <c r="U797" s="75"/>
      <c r="V797" s="76"/>
      <c r="W797" s="77"/>
      <c r="X797" s="77"/>
      <c r="Y797" s="87"/>
      <c r="AB797" s="59"/>
      <c r="AC797" s="60"/>
      <c r="AD797" s="61"/>
      <c r="AE797" s="62"/>
      <c r="AF797" s="61"/>
      <c r="AG797" s="61"/>
      <c r="AH797" s="75"/>
      <c r="AI797" s="76"/>
      <c r="AJ797" s="77"/>
      <c r="AK797" s="77"/>
      <c r="AL797" s="87"/>
      <c r="AO797" s="59"/>
      <c r="AP797" s="60"/>
      <c r="AQ797" s="61"/>
      <c r="AR797" s="62"/>
      <c r="AS797" s="61"/>
      <c r="AT797" s="61"/>
      <c r="AU797" s="75"/>
      <c r="AV797" s="76"/>
      <c r="AW797" s="58"/>
    </row>
    <row r="798" spans="2:51">
      <c r="B798" s="59"/>
      <c r="C798" s="60">
        <v>67</v>
      </c>
      <c r="D798" s="61"/>
      <c r="E798" s="62">
        <v>465</v>
      </c>
      <c r="F798" s="61">
        <v>46.5</v>
      </c>
      <c r="G798" s="61"/>
      <c r="H798" s="75"/>
      <c r="I798" s="76"/>
      <c r="O798" s="69"/>
      <c r="P798" s="70"/>
      <c r="Q798" s="71"/>
      <c r="R798" s="70"/>
      <c r="S798" s="70"/>
      <c r="T798" s="70"/>
      <c r="U798" s="72"/>
      <c r="V798" s="73"/>
      <c r="W798" s="58"/>
      <c r="X798" s="58"/>
      <c r="Y798" s="58"/>
      <c r="AB798" s="69"/>
      <c r="AC798" s="70"/>
      <c r="AD798" s="71"/>
      <c r="AE798" s="70"/>
      <c r="AF798" s="70"/>
      <c r="AG798" s="70"/>
      <c r="AH798" s="72"/>
      <c r="AI798" s="73"/>
      <c r="AJ798" s="58"/>
      <c r="AK798" s="58"/>
      <c r="AL798" s="58"/>
      <c r="AO798" s="69"/>
      <c r="AP798" s="112"/>
      <c r="AQ798" s="71"/>
      <c r="AR798" s="58"/>
      <c r="AS798" s="70"/>
      <c r="AT798" s="70"/>
      <c r="AU798" s="72"/>
      <c r="AV798" s="73"/>
      <c r="AW798" s="58"/>
    </row>
    <row r="799" spans="2:51">
      <c r="B799" s="96"/>
      <c r="C799" s="97"/>
      <c r="D799" s="98"/>
      <c r="E799" s="99"/>
      <c r="F799" s="98"/>
      <c r="G799" s="98"/>
      <c r="H799" s="72"/>
      <c r="I799" s="73"/>
      <c r="O799" s="59"/>
      <c r="P799" s="60"/>
      <c r="Q799" s="61"/>
      <c r="R799" s="62"/>
      <c r="S799" s="61"/>
      <c r="T799" s="61"/>
      <c r="U799" s="75"/>
      <c r="V799" s="76"/>
      <c r="W799" s="58"/>
      <c r="X799" s="58"/>
      <c r="Y799" s="58"/>
      <c r="AB799" s="59"/>
      <c r="AC799" s="60"/>
      <c r="AD799" s="61"/>
      <c r="AE799" s="62"/>
      <c r="AF799" s="61"/>
      <c r="AG799" s="61"/>
      <c r="AH799" s="75"/>
      <c r="AI799" s="76"/>
      <c r="AO799" s="59"/>
      <c r="AP799" s="60"/>
      <c r="AQ799" s="61"/>
      <c r="AR799" s="62"/>
      <c r="AS799" s="61"/>
      <c r="AT799" s="61"/>
      <c r="AU799" s="75"/>
      <c r="AV799" s="76"/>
      <c r="AW799" s="58"/>
    </row>
    <row r="800" ht="15.75" spans="2:51">
      <c r="B800" s="59"/>
      <c r="C800" s="60"/>
      <c r="D800" s="61"/>
      <c r="E800" s="62"/>
      <c r="F800" s="61"/>
      <c r="G800" s="61"/>
      <c r="H800" s="75"/>
      <c r="I800" s="76"/>
      <c r="O800" s="96"/>
      <c r="P800" s="97"/>
      <c r="Q800" s="98"/>
      <c r="R800" s="99"/>
      <c r="S800" s="98"/>
      <c r="T800" s="98"/>
      <c r="U800" s="72"/>
      <c r="V800" s="73"/>
      <c r="AB800" s="96"/>
      <c r="AC800" s="97"/>
      <c r="AD800" s="98"/>
      <c r="AE800" s="99"/>
      <c r="AF800" s="98"/>
      <c r="AG800" s="98"/>
      <c r="AH800" s="72"/>
      <c r="AI800" s="73"/>
      <c r="AO800" s="69"/>
      <c r="AP800" s="112"/>
      <c r="AQ800" s="71"/>
      <c r="AR800" s="58"/>
      <c r="AS800" s="70"/>
      <c r="AT800" s="70"/>
      <c r="AU800" s="72"/>
      <c r="AV800" s="73"/>
    </row>
    <row r="801" ht="15.75" spans="2:51">
      <c r="B801" s="102">
        <f t="shared" ref="B801:G801" si="132">SUM(B774:B798)</f>
        <v>2350</v>
      </c>
      <c r="C801" s="103">
        <f t="shared" si="132"/>
        <v>1822</v>
      </c>
      <c r="D801" s="104">
        <f t="shared" si="132"/>
        <v>166</v>
      </c>
      <c r="E801" s="105">
        <f t="shared" si="132"/>
        <v>11264</v>
      </c>
      <c r="F801" s="106">
        <f t="shared" si="132"/>
        <v>1092.2</v>
      </c>
      <c r="G801" s="107">
        <f t="shared" si="132"/>
        <v>1247.3</v>
      </c>
      <c r="H801" s="108" t="s">
        <v>54</v>
      </c>
      <c r="I801" s="109"/>
      <c r="O801" s="59"/>
      <c r="P801" s="60"/>
      <c r="Q801" s="61"/>
      <c r="R801" s="62"/>
      <c r="S801" s="61"/>
      <c r="T801" s="61"/>
      <c r="U801" s="75"/>
      <c r="V801" s="76"/>
      <c r="AB801" s="59"/>
      <c r="AC801" s="60"/>
      <c r="AD801" s="61"/>
      <c r="AE801" s="62"/>
      <c r="AF801" s="61"/>
      <c r="AG801" s="61"/>
      <c r="AH801" s="75"/>
      <c r="AI801" s="76"/>
      <c r="AO801" s="59"/>
      <c r="AP801" s="60"/>
      <c r="AQ801" s="61"/>
      <c r="AR801" s="62"/>
      <c r="AS801" s="61"/>
      <c r="AT801" s="61"/>
      <c r="AU801" s="75"/>
      <c r="AV801" s="76"/>
    </row>
    <row r="802" ht="15.75" spans="2:51">
      <c r="O802" s="102">
        <f t="shared" ref="O802:T802" si="133">SUM(O785:O801)</f>
        <v>1995</v>
      </c>
      <c r="P802" s="103">
        <f t="shared" si="133"/>
        <v>2180</v>
      </c>
      <c r="Q802" s="104">
        <f t="shared" si="133"/>
        <v>198</v>
      </c>
      <c r="R802" s="105">
        <f t="shared" si="133"/>
        <v>1937</v>
      </c>
      <c r="S802" s="106">
        <f t="shared" si="133"/>
        <v>199.8</v>
      </c>
      <c r="T802" s="107">
        <f t="shared" si="133"/>
        <v>2060</v>
      </c>
      <c r="U802" s="108" t="s">
        <v>54</v>
      </c>
      <c r="V802" s="109"/>
      <c r="AB802" s="96"/>
      <c r="AC802" s="97"/>
      <c r="AD802" s="98"/>
      <c r="AE802" s="99"/>
      <c r="AF802" s="98"/>
      <c r="AG802" s="98"/>
      <c r="AH802" s="72"/>
      <c r="AI802" s="73"/>
      <c r="AO802" s="96"/>
      <c r="AP802" s="97"/>
      <c r="AQ802" s="98"/>
      <c r="AR802" s="99"/>
      <c r="AS802" s="98"/>
      <c r="AT802" s="98"/>
      <c r="AU802" s="72"/>
      <c r="AV802" s="73"/>
    </row>
    <row r="803" ht="15.75" spans="2:51">
      <c r="AB803" s="102">
        <f t="shared" ref="AB803:AG803" si="134">SUM(AB785:AB802)</f>
        <v>740</v>
      </c>
      <c r="AC803" s="103">
        <f t="shared" si="134"/>
        <v>1544</v>
      </c>
      <c r="AD803" s="104">
        <f t="shared" si="134"/>
        <v>16</v>
      </c>
      <c r="AE803" s="105">
        <f t="shared" si="134"/>
        <v>3029</v>
      </c>
      <c r="AF803" s="106">
        <f t="shared" si="134"/>
        <v>318</v>
      </c>
      <c r="AG803" s="107">
        <f t="shared" si="134"/>
        <v>367</v>
      </c>
      <c r="AH803" s="108" t="s">
        <v>54</v>
      </c>
      <c r="AI803" s="109"/>
      <c r="AO803" s="59"/>
      <c r="AP803" s="60"/>
      <c r="AQ803" s="61"/>
      <c r="AR803" s="62"/>
      <c r="AS803" s="61"/>
      <c r="AT803" s="61"/>
      <c r="AU803" s="75"/>
      <c r="AV803" s="76"/>
    </row>
    <row r="804" ht="17" customHeight="1" spans="2:51">
      <c r="B804" s="33" t="s">
        <v>362</v>
      </c>
      <c r="C804" s="34"/>
      <c r="D804" s="34"/>
      <c r="E804" s="34"/>
      <c r="F804" s="34"/>
      <c r="G804" s="34"/>
      <c r="H804" s="34"/>
      <c r="I804" s="34"/>
      <c r="J804" s="34"/>
      <c r="K804" s="34"/>
      <c r="L804" s="35"/>
      <c r="AO804" s="96"/>
      <c r="AP804" s="97"/>
      <c r="AQ804" s="98"/>
      <c r="AR804" s="99"/>
      <c r="AS804" s="98"/>
      <c r="AT804" s="98"/>
      <c r="AU804" s="72"/>
      <c r="AV804" s="73"/>
    </row>
    <row r="805" ht="15.75" spans="2:51">
      <c r="B805" s="36"/>
      <c r="C805" s="37"/>
      <c r="D805" s="37"/>
      <c r="E805" s="37"/>
      <c r="F805" s="37"/>
      <c r="G805" s="37"/>
      <c r="H805" s="37"/>
      <c r="I805" s="37"/>
      <c r="J805" s="37"/>
      <c r="K805" s="37"/>
      <c r="L805" s="38"/>
      <c r="O805" s="33" t="s">
        <v>363</v>
      </c>
      <c r="P805" s="34"/>
      <c r="Q805" s="34"/>
      <c r="R805" s="34"/>
      <c r="S805" s="34"/>
      <c r="T805" s="34"/>
      <c r="U805" s="34"/>
      <c r="V805" s="34"/>
      <c r="W805" s="34"/>
      <c r="X805" s="34"/>
      <c r="Y805" s="35"/>
      <c r="AO805" s="59"/>
      <c r="AP805" s="60"/>
      <c r="AQ805" s="61"/>
      <c r="AR805" s="62"/>
      <c r="AS805" s="61"/>
      <c r="AT805" s="61"/>
      <c r="AU805" s="75"/>
      <c r="AV805" s="76"/>
    </row>
    <row r="806" ht="15.75" spans="2:51">
      <c r="B806" s="39" t="s">
        <v>12</v>
      </c>
      <c r="C806" s="40" t="s">
        <v>13</v>
      </c>
      <c r="D806" s="41"/>
      <c r="E806" s="42" t="s">
        <v>14</v>
      </c>
      <c r="F806" s="43"/>
      <c r="G806" s="44" t="s">
        <v>15</v>
      </c>
      <c r="H806" s="45"/>
      <c r="I806" s="46"/>
      <c r="J806" s="47" t="s">
        <v>16</v>
      </c>
      <c r="K806" s="48"/>
      <c r="L806" s="49">
        <f>C838+E838</f>
        <v>11747</v>
      </c>
      <c r="O806" s="36"/>
      <c r="P806" s="37"/>
      <c r="Q806" s="37"/>
      <c r="R806" s="37"/>
      <c r="S806" s="37"/>
      <c r="T806" s="37"/>
      <c r="U806" s="37"/>
      <c r="V806" s="37"/>
      <c r="W806" s="37"/>
      <c r="X806" s="37"/>
      <c r="Y806" s="38"/>
      <c r="AB806" s="33" t="s">
        <v>364</v>
      </c>
      <c r="AC806" s="34"/>
      <c r="AD806" s="34"/>
      <c r="AE806" s="34"/>
      <c r="AF806" s="34"/>
      <c r="AG806" s="34"/>
      <c r="AH806" s="34"/>
      <c r="AI806" s="34"/>
      <c r="AJ806" s="34"/>
      <c r="AK806" s="34"/>
      <c r="AL806" s="35"/>
      <c r="AO806" s="96"/>
      <c r="AP806" s="97"/>
      <c r="AQ806" s="98"/>
      <c r="AR806" s="99"/>
      <c r="AS806" s="98"/>
      <c r="AT806" s="98"/>
      <c r="AU806" s="72"/>
      <c r="AV806" s="73"/>
    </row>
    <row r="807" ht="15.75" spans="2:51">
      <c r="B807" s="50"/>
      <c r="C807" s="51" t="s">
        <v>17</v>
      </c>
      <c r="D807" s="51" t="s">
        <v>18</v>
      </c>
      <c r="E807" s="52" t="s">
        <v>17</v>
      </c>
      <c r="F807" s="52" t="s">
        <v>18</v>
      </c>
      <c r="G807" s="53"/>
      <c r="H807" s="54"/>
      <c r="I807" s="55"/>
      <c r="J807" s="56" t="s">
        <v>19</v>
      </c>
      <c r="K807" s="57"/>
      <c r="L807" s="49">
        <f>D838+F838</f>
        <v>1366.5</v>
      </c>
      <c r="O807" s="39" t="s">
        <v>12</v>
      </c>
      <c r="P807" s="40" t="s">
        <v>13</v>
      </c>
      <c r="Q807" s="41"/>
      <c r="R807" s="42" t="s">
        <v>14</v>
      </c>
      <c r="S807" s="43"/>
      <c r="T807" s="44" t="s">
        <v>15</v>
      </c>
      <c r="U807" s="45"/>
      <c r="V807" s="46"/>
      <c r="W807" s="47" t="s">
        <v>16</v>
      </c>
      <c r="X807" s="48"/>
      <c r="Y807" s="49">
        <f>P826+R826</f>
        <v>5893</v>
      </c>
      <c r="AB807" s="36"/>
      <c r="AC807" s="37"/>
      <c r="AD807" s="37"/>
      <c r="AE807" s="37"/>
      <c r="AF807" s="37"/>
      <c r="AG807" s="37"/>
      <c r="AH807" s="37"/>
      <c r="AI807" s="37"/>
      <c r="AJ807" s="37"/>
      <c r="AK807" s="37"/>
      <c r="AL807" s="38"/>
      <c r="AO807" s="59"/>
      <c r="AP807" s="60"/>
      <c r="AQ807" s="61"/>
      <c r="AR807" s="62"/>
      <c r="AS807" s="61"/>
      <c r="AT807" s="61"/>
      <c r="AU807" s="75"/>
      <c r="AV807" s="76"/>
    </row>
    <row r="808" ht="15.75" spans="2:51">
      <c r="B808" s="59">
        <v>3226</v>
      </c>
      <c r="C808" s="60"/>
      <c r="D808" s="61"/>
      <c r="E808" s="62">
        <v>323</v>
      </c>
      <c r="F808" s="61">
        <v>32.3</v>
      </c>
      <c r="G808" s="61">
        <v>33.8</v>
      </c>
      <c r="H808" s="63" t="s">
        <v>58</v>
      </c>
      <c r="I808" s="64"/>
      <c r="J808" s="65" t="s">
        <v>21</v>
      </c>
      <c r="K808" s="66"/>
      <c r="L808" s="67">
        <f>G838</f>
        <v>6139.4</v>
      </c>
      <c r="O808" s="50"/>
      <c r="P808" s="51" t="s">
        <v>17</v>
      </c>
      <c r="Q808" s="51" t="s">
        <v>18</v>
      </c>
      <c r="R808" s="52" t="s">
        <v>17</v>
      </c>
      <c r="S808" s="52" t="s">
        <v>18</v>
      </c>
      <c r="T808" s="53"/>
      <c r="U808" s="54"/>
      <c r="V808" s="55"/>
      <c r="W808" s="56" t="s">
        <v>19</v>
      </c>
      <c r="X808" s="57"/>
      <c r="Y808" s="49">
        <f>Q826+S826</f>
        <v>648.3</v>
      </c>
      <c r="AB808" s="39" t="s">
        <v>12</v>
      </c>
      <c r="AC808" s="40" t="s">
        <v>13</v>
      </c>
      <c r="AD808" s="41"/>
      <c r="AE808" s="42" t="s">
        <v>14</v>
      </c>
      <c r="AF808" s="43"/>
      <c r="AG808" s="44" t="s">
        <v>15</v>
      </c>
      <c r="AH808" s="45"/>
      <c r="AI808" s="46"/>
      <c r="AJ808" s="47" t="s">
        <v>16</v>
      </c>
      <c r="AK808" s="48"/>
      <c r="AL808" s="49">
        <f>AC831+AE831</f>
        <v>7278</v>
      </c>
      <c r="AO808" s="96"/>
      <c r="AP808" s="97"/>
      <c r="AQ808" s="98"/>
      <c r="AR808" s="99"/>
      <c r="AS808" s="98"/>
      <c r="AT808" s="98"/>
      <c r="AU808" s="72"/>
      <c r="AV808" s="73"/>
    </row>
    <row r="809" ht="15.75" spans="2:51">
      <c r="B809" s="69">
        <v>1500</v>
      </c>
      <c r="C809" s="70"/>
      <c r="D809" s="71"/>
      <c r="E809" s="70">
        <v>1092</v>
      </c>
      <c r="F809" s="70">
        <v>109.2</v>
      </c>
      <c r="G809" s="70">
        <v>75</v>
      </c>
      <c r="H809" s="72" t="s">
        <v>365</v>
      </c>
      <c r="I809" s="73"/>
      <c r="J809" s="74" t="s">
        <v>26</v>
      </c>
      <c r="K809" s="57"/>
      <c r="L809" s="49">
        <f>B838+L806+L807-L808-E838-F838</f>
        <v>3763.1</v>
      </c>
      <c r="O809" s="59">
        <v>2314</v>
      </c>
      <c r="P809" s="133">
        <v>15</v>
      </c>
      <c r="Q809" s="61"/>
      <c r="R809" s="60"/>
      <c r="S809" s="61"/>
      <c r="T809" s="61">
        <v>205</v>
      </c>
      <c r="U809" s="63" t="s">
        <v>57</v>
      </c>
      <c r="V809" s="64"/>
      <c r="W809" s="65" t="s">
        <v>21</v>
      </c>
      <c r="X809" s="66"/>
      <c r="Y809" s="67">
        <f>T826</f>
        <v>1832</v>
      </c>
      <c r="AB809" s="50"/>
      <c r="AC809" s="51" t="s">
        <v>17</v>
      </c>
      <c r="AD809" s="51" t="s">
        <v>18</v>
      </c>
      <c r="AE809" s="52" t="s">
        <v>17</v>
      </c>
      <c r="AF809" s="52" t="s">
        <v>18</v>
      </c>
      <c r="AG809" s="53"/>
      <c r="AH809" s="54"/>
      <c r="AI809" s="55"/>
      <c r="AJ809" s="56" t="s">
        <v>19</v>
      </c>
      <c r="AK809" s="57"/>
      <c r="AL809" s="49">
        <f>AD831+AF831</f>
        <v>750.85</v>
      </c>
      <c r="AO809" s="59"/>
      <c r="AP809" s="60"/>
      <c r="AQ809" s="61"/>
      <c r="AR809" s="62"/>
      <c r="AS809" s="61"/>
      <c r="AT809" s="61"/>
      <c r="AU809" s="75"/>
      <c r="AV809" s="76"/>
    </row>
    <row r="810" ht="15.75" spans="2:51">
      <c r="B810" s="59"/>
      <c r="C810" s="60"/>
      <c r="D810" s="61"/>
      <c r="E810" s="62">
        <v>142</v>
      </c>
      <c r="F810" s="61"/>
      <c r="G810" s="61">
        <v>50</v>
      </c>
      <c r="H810" s="75" t="s">
        <v>29</v>
      </c>
      <c r="I810" s="76"/>
      <c r="J810" s="77"/>
      <c r="K810" s="78" t="s">
        <v>30</v>
      </c>
      <c r="L810" s="79">
        <f>L807/4</f>
        <v>341.625</v>
      </c>
      <c r="O810" s="69"/>
      <c r="P810" s="70">
        <v>240</v>
      </c>
      <c r="Q810" s="71">
        <v>30</v>
      </c>
      <c r="R810" s="70"/>
      <c r="S810" s="71"/>
      <c r="T810" s="70">
        <v>30</v>
      </c>
      <c r="U810" s="72" t="s">
        <v>29</v>
      </c>
      <c r="V810" s="73"/>
      <c r="W810" s="74" t="s">
        <v>26</v>
      </c>
      <c r="X810" s="57"/>
      <c r="Y810" s="49">
        <f>O826+Y807+Y808-Y809-R826-S826</f>
        <v>2661</v>
      </c>
      <c r="AB810" s="59">
        <v>1933</v>
      </c>
      <c r="AC810" s="68"/>
      <c r="AD810" s="61"/>
      <c r="AE810" s="62">
        <v>255</v>
      </c>
      <c r="AF810" s="61">
        <v>25.5</v>
      </c>
      <c r="AG810" s="61">
        <v>276</v>
      </c>
      <c r="AH810" s="63" t="s">
        <v>143</v>
      </c>
      <c r="AI810" s="64"/>
      <c r="AJ810" s="65" t="s">
        <v>21</v>
      </c>
      <c r="AK810" s="66"/>
      <c r="AL810" s="67">
        <f>AG831</f>
        <v>6489</v>
      </c>
      <c r="AO810" s="96"/>
      <c r="AP810" s="97"/>
      <c r="AQ810" s="98"/>
      <c r="AR810" s="99"/>
      <c r="AS810" s="98"/>
      <c r="AT810" s="98"/>
      <c r="AU810" s="72"/>
      <c r="AV810" s="73"/>
    </row>
    <row r="811" ht="15.75" spans="2:51">
      <c r="B811" s="69"/>
      <c r="C811" s="70">
        <v>898</v>
      </c>
      <c r="D811" s="71"/>
      <c r="E811" s="70"/>
      <c r="F811" s="70"/>
      <c r="G811" s="70">
        <v>41.6</v>
      </c>
      <c r="H811" s="72" t="s">
        <v>36</v>
      </c>
      <c r="I811" s="73"/>
      <c r="J811" s="77"/>
      <c r="K811" s="80" t="s">
        <v>34</v>
      </c>
      <c r="L811" s="81">
        <f>L807/6</f>
        <v>227.75</v>
      </c>
      <c r="O811" s="59"/>
      <c r="P811" s="60">
        <v>929</v>
      </c>
      <c r="Q811" s="60">
        <v>160</v>
      </c>
      <c r="R811" s="60"/>
      <c r="S811" s="133"/>
      <c r="T811" s="61">
        <v>170</v>
      </c>
      <c r="U811" s="75" t="s">
        <v>22</v>
      </c>
      <c r="V811" s="76"/>
      <c r="W811" s="77"/>
      <c r="X811" s="78" t="s">
        <v>30</v>
      </c>
      <c r="Y811" s="79">
        <f>Y808/4</f>
        <v>162.075</v>
      </c>
      <c r="AB811" s="69">
        <v>1000</v>
      </c>
      <c r="AC811" s="70">
        <v>796</v>
      </c>
      <c r="AD811" s="71">
        <v>83</v>
      </c>
      <c r="AE811" s="70"/>
      <c r="AF811" s="70"/>
      <c r="AG811" s="70">
        <v>969</v>
      </c>
      <c r="AH811" s="72" t="s">
        <v>207</v>
      </c>
      <c r="AI811" s="73"/>
      <c r="AJ811" s="74" t="s">
        <v>26</v>
      </c>
      <c r="AK811" s="57"/>
      <c r="AL811" s="49">
        <f>AB831+AL808+AL809-AL810-AE831-AF831</f>
        <v>158</v>
      </c>
      <c r="AO811" s="102">
        <f t="shared" ref="AO811:AT811" si="135">SUM(AO773:AO810)</f>
        <v>502</v>
      </c>
      <c r="AP811" s="103">
        <f t="shared" si="135"/>
        <v>3476</v>
      </c>
      <c r="AQ811" s="104">
        <f t="shared" si="135"/>
        <v>298</v>
      </c>
      <c r="AR811" s="105">
        <f t="shared" si="135"/>
        <v>1191</v>
      </c>
      <c r="AS811" s="106">
        <f t="shared" si="135"/>
        <v>119.1</v>
      </c>
      <c r="AT811" s="107">
        <f t="shared" si="135"/>
        <v>2877</v>
      </c>
      <c r="AU811" s="108" t="s">
        <v>54</v>
      </c>
      <c r="AV811" s="109"/>
    </row>
    <row r="812" spans="2:51">
      <c r="B812" s="59"/>
      <c r="C812" s="60">
        <v>675</v>
      </c>
      <c r="D812" s="61">
        <v>70</v>
      </c>
      <c r="E812" s="62"/>
      <c r="F812" s="61"/>
      <c r="G812" s="61">
        <v>30</v>
      </c>
      <c r="H812" s="75" t="s">
        <v>22</v>
      </c>
      <c r="I812" s="76"/>
      <c r="J812" s="77"/>
      <c r="K812" s="82" t="s">
        <v>37</v>
      </c>
      <c r="L812" s="83">
        <f>L807/8</f>
        <v>170.8125</v>
      </c>
      <c r="O812" s="69"/>
      <c r="P812" s="70"/>
      <c r="Q812" s="71"/>
      <c r="R812" s="70">
        <v>858</v>
      </c>
      <c r="S812" s="120">
        <v>42.9</v>
      </c>
      <c r="T812" s="70">
        <v>293</v>
      </c>
      <c r="U812" s="72" t="s">
        <v>134</v>
      </c>
      <c r="V812" s="73"/>
      <c r="W812" s="77"/>
      <c r="X812" s="80" t="s">
        <v>34</v>
      </c>
      <c r="Y812" s="81">
        <f>Y808/6</f>
        <v>108.05</v>
      </c>
      <c r="AB812" s="59">
        <v>950</v>
      </c>
      <c r="AC812" s="60"/>
      <c r="AD812" s="61"/>
      <c r="AE812" s="62">
        <v>341</v>
      </c>
      <c r="AF812" s="61">
        <v>34.1</v>
      </c>
      <c r="AG812" s="61">
        <v>2387</v>
      </c>
      <c r="AH812" s="75" t="s">
        <v>38</v>
      </c>
      <c r="AI812" s="76"/>
      <c r="AJ812" s="77"/>
      <c r="AK812" s="78" t="s">
        <v>30</v>
      </c>
      <c r="AL812" s="79">
        <f>AL809/4</f>
        <v>187.7125</v>
      </c>
    </row>
    <row r="813" ht="15.75" spans="2:51">
      <c r="B813" s="69"/>
      <c r="C813" s="70" t="s">
        <v>366</v>
      </c>
      <c r="D813" s="85"/>
      <c r="E813" s="85">
        <v>844</v>
      </c>
      <c r="F813" s="70">
        <v>84.4</v>
      </c>
      <c r="G813" s="70">
        <v>2067</v>
      </c>
      <c r="H813" s="72" t="s">
        <v>43</v>
      </c>
      <c r="I813" s="73"/>
      <c r="J813" s="86"/>
      <c r="K813" s="77"/>
      <c r="L813" s="87"/>
      <c r="O813" s="59"/>
      <c r="P813" s="133"/>
      <c r="Q813" s="61">
        <v>170</v>
      </c>
      <c r="R813" s="62">
        <v>1066</v>
      </c>
      <c r="S813" s="129"/>
      <c r="T813" s="61">
        <v>1134</v>
      </c>
      <c r="U813" s="75" t="s">
        <v>65</v>
      </c>
      <c r="V813" s="76"/>
      <c r="W813" s="77"/>
      <c r="X813" s="82" t="s">
        <v>37</v>
      </c>
      <c r="Y813" s="83">
        <f>Y808/8</f>
        <v>81.0375</v>
      </c>
      <c r="AB813" s="69"/>
      <c r="AC813" s="70"/>
      <c r="AD813" s="71"/>
      <c r="AE813" s="70">
        <v>350</v>
      </c>
      <c r="AF813" s="70">
        <v>0</v>
      </c>
      <c r="AG813" s="70">
        <v>2181</v>
      </c>
      <c r="AH813" s="72" t="s">
        <v>43</v>
      </c>
      <c r="AI813" s="73"/>
      <c r="AJ813" s="77"/>
      <c r="AK813" s="80" t="s">
        <v>34</v>
      </c>
      <c r="AL813" s="81">
        <f>AL809/6</f>
        <v>125.141666666667</v>
      </c>
    </row>
    <row r="814" spans="2:51">
      <c r="B814" s="59"/>
      <c r="C814" s="60">
        <v>259</v>
      </c>
      <c r="D814" s="61">
        <v>53</v>
      </c>
      <c r="E814" s="62">
        <v>259</v>
      </c>
      <c r="F814" s="61">
        <v>53</v>
      </c>
      <c r="G814" s="61">
        <v>946</v>
      </c>
      <c r="H814" s="75" t="s">
        <v>23</v>
      </c>
      <c r="I814" s="76"/>
      <c r="J814" s="77"/>
      <c r="K814" s="58"/>
      <c r="L814" s="58"/>
      <c r="O814" s="69"/>
      <c r="P814" s="119"/>
      <c r="Q814" s="85"/>
      <c r="R814" s="70">
        <v>237</v>
      </c>
      <c r="S814" s="70">
        <v>27.7</v>
      </c>
      <c r="T814" s="70"/>
      <c r="U814" s="72"/>
      <c r="V814" s="73"/>
      <c r="W814" s="86"/>
      <c r="X814" s="77"/>
      <c r="Y814" s="87"/>
      <c r="AB814" s="59"/>
      <c r="AC814" s="60"/>
      <c r="AD814" s="61"/>
      <c r="AE814" s="62">
        <v>791</v>
      </c>
      <c r="AF814" s="61">
        <v>79.1</v>
      </c>
      <c r="AG814" s="61">
        <v>676</v>
      </c>
      <c r="AH814" s="75" t="s">
        <v>41</v>
      </c>
      <c r="AI814" s="84"/>
      <c r="AJ814" s="77"/>
      <c r="AK814" s="82" t="s">
        <v>37</v>
      </c>
      <c r="AL814" s="83">
        <f>AL809/8</f>
        <v>93.85625</v>
      </c>
      <c r="AO814" s="33" t="s">
        <v>367</v>
      </c>
      <c r="AP814" s="34"/>
      <c r="AQ814" s="34"/>
      <c r="AR814" s="34"/>
      <c r="AS814" s="34"/>
      <c r="AT814" s="34"/>
      <c r="AU814" s="34"/>
      <c r="AV814" s="34"/>
      <c r="AW814" s="34"/>
      <c r="AX814" s="34"/>
      <c r="AY814" s="35"/>
    </row>
    <row r="815" ht="22" customHeight="1" spans="2:51">
      <c r="B815" s="69"/>
      <c r="C815" s="97">
        <v>38</v>
      </c>
      <c r="D815" s="71"/>
      <c r="E815" s="70"/>
      <c r="F815" s="70"/>
      <c r="G815" s="70">
        <v>2896</v>
      </c>
      <c r="H815" s="72" t="s">
        <v>27</v>
      </c>
      <c r="I815" s="73"/>
      <c r="J815" s="77"/>
      <c r="K815" s="58"/>
      <c r="L815" s="58"/>
      <c r="O815" s="59"/>
      <c r="P815" s="60"/>
      <c r="Q815" s="61"/>
      <c r="R815" s="62">
        <v>613</v>
      </c>
      <c r="S815" s="61">
        <v>61.3</v>
      </c>
      <c r="T815" s="61"/>
      <c r="U815" s="75"/>
      <c r="V815" s="76"/>
      <c r="W815" s="77"/>
      <c r="X815" s="58"/>
      <c r="Y815" s="58"/>
      <c r="AB815" s="69"/>
      <c r="AC815" s="70"/>
      <c r="AD815" s="85"/>
      <c r="AE815" s="70">
        <v>636</v>
      </c>
      <c r="AF815" s="70">
        <v>63.6</v>
      </c>
      <c r="AG815" s="70"/>
      <c r="AH815" s="72"/>
      <c r="AI815" s="73"/>
      <c r="AJ815" s="86"/>
      <c r="AK815" s="77"/>
      <c r="AL815" s="87"/>
      <c r="AO815" s="36"/>
      <c r="AP815" s="37"/>
      <c r="AQ815" s="37"/>
      <c r="AR815" s="37"/>
      <c r="AS815" s="37"/>
      <c r="AT815" s="37"/>
      <c r="AU815" s="37"/>
      <c r="AV815" s="37"/>
      <c r="AW815" s="37"/>
      <c r="AX815" s="37"/>
      <c r="AY815" s="38"/>
    </row>
    <row r="816" ht="15.75" spans="2:51">
      <c r="B816" s="59"/>
      <c r="C816" s="60">
        <v>235</v>
      </c>
      <c r="D816" s="88">
        <v>35</v>
      </c>
      <c r="E816" s="62"/>
      <c r="F816" s="61"/>
      <c r="G816" s="61"/>
      <c r="H816" s="75"/>
      <c r="I816" s="76"/>
      <c r="J816" s="77"/>
      <c r="K816" s="58"/>
      <c r="L816" s="58"/>
      <c r="O816" s="69"/>
      <c r="P816" s="70"/>
      <c r="Q816" s="71"/>
      <c r="R816" s="70">
        <v>110</v>
      </c>
      <c r="S816" s="70"/>
      <c r="T816" s="70"/>
      <c r="U816" s="72"/>
      <c r="V816" s="73"/>
      <c r="W816" s="77"/>
      <c r="X816" s="58"/>
      <c r="Y816" s="58"/>
      <c r="AB816" s="59"/>
      <c r="AC816" s="60"/>
      <c r="AD816" s="61"/>
      <c r="AE816" s="62">
        <v>483</v>
      </c>
      <c r="AF816" s="61">
        <v>48.3</v>
      </c>
      <c r="AG816" s="61"/>
      <c r="AH816" s="75"/>
      <c r="AI816" s="76"/>
      <c r="AJ816" s="77"/>
      <c r="AK816" s="58"/>
      <c r="AL816" s="58"/>
      <c r="AO816" s="39" t="s">
        <v>12</v>
      </c>
      <c r="AP816" s="40" t="s">
        <v>13</v>
      </c>
      <c r="AQ816" s="41"/>
      <c r="AR816" s="42" t="s">
        <v>14</v>
      </c>
      <c r="AS816" s="43"/>
      <c r="AT816" s="44" t="s">
        <v>15</v>
      </c>
      <c r="AU816" s="45"/>
      <c r="AV816" s="46"/>
      <c r="AW816" s="47" t="s">
        <v>16</v>
      </c>
      <c r="AX816" s="48"/>
      <c r="AY816" s="49">
        <f>AP834+AR834</f>
        <v>2015</v>
      </c>
    </row>
    <row r="817" ht="15.75" spans="2:51">
      <c r="B817" s="69"/>
      <c r="C817" s="70"/>
      <c r="D817" s="71"/>
      <c r="E817" s="70">
        <v>691</v>
      </c>
      <c r="F817" s="70">
        <v>70</v>
      </c>
      <c r="G817" s="70"/>
      <c r="H817" s="72"/>
      <c r="I817" s="73"/>
      <c r="J817" s="89" t="s">
        <v>44</v>
      </c>
      <c r="K817" s="90" t="s">
        <v>45</v>
      </c>
      <c r="L817" s="90" t="s">
        <v>46</v>
      </c>
      <c r="O817" s="59"/>
      <c r="P817" s="60"/>
      <c r="Q817" s="88"/>
      <c r="R817" s="62">
        <v>475</v>
      </c>
      <c r="S817" s="61">
        <v>47.5</v>
      </c>
      <c r="T817" s="61"/>
      <c r="U817" s="75"/>
      <c r="V817" s="76"/>
      <c r="W817" s="77"/>
      <c r="X817" s="58"/>
      <c r="Y817" s="58"/>
      <c r="AB817" s="69"/>
      <c r="AC817" s="70"/>
      <c r="AD817" s="71"/>
      <c r="AE817" s="70">
        <v>235</v>
      </c>
      <c r="AF817" s="70">
        <v>23.5</v>
      </c>
      <c r="AG817" s="70"/>
      <c r="AH817" s="72"/>
      <c r="AI817" s="73"/>
      <c r="AJ817" s="77"/>
      <c r="AK817" s="58"/>
      <c r="AL817" s="58"/>
      <c r="AO817" s="50"/>
      <c r="AP817" s="51" t="s">
        <v>17</v>
      </c>
      <c r="AQ817" s="51" t="s">
        <v>18</v>
      </c>
      <c r="AR817" s="52" t="s">
        <v>17</v>
      </c>
      <c r="AS817" s="52" t="s">
        <v>18</v>
      </c>
      <c r="AT817" s="53"/>
      <c r="AU817" s="54"/>
      <c r="AV817" s="55"/>
      <c r="AW817" s="56" t="s">
        <v>19</v>
      </c>
      <c r="AX817" s="57"/>
      <c r="AY817" s="49">
        <f>AQ834+AS834</f>
        <v>115.4</v>
      </c>
    </row>
    <row r="818" ht="15.75" spans="2:51">
      <c r="B818" s="59"/>
      <c r="C818" s="60">
        <v>460</v>
      </c>
      <c r="D818" s="61">
        <v>50</v>
      </c>
      <c r="E818" s="62"/>
      <c r="F818" s="61"/>
      <c r="G818" s="61"/>
      <c r="H818" s="75"/>
      <c r="I818" s="76"/>
      <c r="J818" s="92" t="s">
        <v>47</v>
      </c>
      <c r="K818" s="93" t="s">
        <v>48</v>
      </c>
      <c r="L818" s="93" t="s">
        <v>43</v>
      </c>
      <c r="O818" s="69"/>
      <c r="P818" s="70">
        <v>570</v>
      </c>
      <c r="Q818" s="71">
        <v>50</v>
      </c>
      <c r="R818" s="70"/>
      <c r="S818" s="70"/>
      <c r="T818" s="70"/>
      <c r="U818" s="72"/>
      <c r="V818" s="73"/>
      <c r="W818" s="89" t="s">
        <v>44</v>
      </c>
      <c r="X818" s="90" t="s">
        <v>45</v>
      </c>
      <c r="Y818" s="90" t="s">
        <v>46</v>
      </c>
      <c r="AB818" s="59"/>
      <c r="AC818" s="60">
        <v>245</v>
      </c>
      <c r="AD818" s="88"/>
      <c r="AE818" s="62"/>
      <c r="AF818" s="61"/>
      <c r="AG818" s="61"/>
      <c r="AH818" s="75"/>
      <c r="AI818" s="76"/>
      <c r="AJ818" s="77"/>
      <c r="AK818" s="58"/>
      <c r="AL818" s="58"/>
      <c r="AO818" s="59">
        <v>499</v>
      </c>
      <c r="AP818" s="68">
        <v>98</v>
      </c>
      <c r="AQ818" s="61"/>
      <c r="AR818" s="62"/>
      <c r="AS818" s="61"/>
      <c r="AT818" s="61">
        <v>30</v>
      </c>
      <c r="AU818" s="63" t="s">
        <v>29</v>
      </c>
      <c r="AV818" s="64"/>
      <c r="AW818" s="65" t="s">
        <v>21</v>
      </c>
      <c r="AX818" s="66"/>
      <c r="AY818" s="67">
        <f>AT834</f>
        <v>30</v>
      </c>
    </row>
    <row r="819" ht="15.75" spans="2:51">
      <c r="B819" s="69"/>
      <c r="C819" s="70"/>
      <c r="D819" s="71"/>
      <c r="E819" s="70">
        <v>503</v>
      </c>
      <c r="F819" s="70">
        <v>50.3</v>
      </c>
      <c r="G819" s="70"/>
      <c r="H819" s="72"/>
      <c r="I819" s="73"/>
      <c r="J819" s="94" t="s">
        <v>52</v>
      </c>
      <c r="K819" s="95" t="s">
        <v>27</v>
      </c>
      <c r="L819" s="95" t="s">
        <v>65</v>
      </c>
      <c r="O819" s="59"/>
      <c r="P819" s="60">
        <v>15</v>
      </c>
      <c r="Q819" s="61"/>
      <c r="R819" s="62"/>
      <c r="S819" s="61"/>
      <c r="T819" s="61"/>
      <c r="U819" s="75"/>
      <c r="V819" s="76"/>
      <c r="W819" s="92" t="s">
        <v>47</v>
      </c>
      <c r="X819" s="93" t="s">
        <v>48</v>
      </c>
      <c r="Y819" s="93" t="s">
        <v>65</v>
      </c>
      <c r="AB819" s="69"/>
      <c r="AC819" s="70">
        <v>8</v>
      </c>
      <c r="AD819" s="71"/>
      <c r="AE819" s="70"/>
      <c r="AF819" s="70"/>
      <c r="AG819" s="70"/>
      <c r="AH819" s="72"/>
      <c r="AI819" s="73"/>
      <c r="AJ819" s="89" t="s">
        <v>44</v>
      </c>
      <c r="AK819" s="90" t="s">
        <v>45</v>
      </c>
      <c r="AL819" s="90" t="s">
        <v>46</v>
      </c>
      <c r="AO819" s="69"/>
      <c r="AP819" s="70">
        <v>57</v>
      </c>
      <c r="AQ819" s="71"/>
      <c r="AR819" s="70"/>
      <c r="AS819" s="70"/>
      <c r="AT819" s="70"/>
      <c r="AU819" s="72"/>
      <c r="AV819" s="73"/>
      <c r="AW819" s="74" t="s">
        <v>26</v>
      </c>
      <c r="AX819" s="57"/>
      <c r="AY819" s="49">
        <f>AO834+AY816+AY817-AY818-AR834-AS834</f>
        <v>1465</v>
      </c>
    </row>
    <row r="820" spans="2:51">
      <c r="B820" s="59"/>
      <c r="C820" s="60"/>
      <c r="D820" s="61"/>
      <c r="E820" s="62">
        <v>1343</v>
      </c>
      <c r="F820" s="61">
        <v>134.3</v>
      </c>
      <c r="G820" s="61"/>
      <c r="H820" s="75"/>
      <c r="I820" s="76"/>
      <c r="J820" s="77"/>
      <c r="K820" s="77"/>
      <c r="L820" s="87"/>
      <c r="O820" s="69"/>
      <c r="P820" s="70"/>
      <c r="Q820" s="71"/>
      <c r="R820" s="70">
        <v>589</v>
      </c>
      <c r="S820" s="70">
        <v>58.9</v>
      </c>
      <c r="T820" s="70"/>
      <c r="U820" s="72"/>
      <c r="V820" s="73"/>
      <c r="W820" s="94" t="s">
        <v>52</v>
      </c>
      <c r="X820" s="95" t="s">
        <v>27</v>
      </c>
      <c r="Y820" s="95" t="s">
        <v>43</v>
      </c>
      <c r="AB820" s="59"/>
      <c r="AC820" s="60">
        <v>445</v>
      </c>
      <c r="AD820" s="61">
        <v>22</v>
      </c>
      <c r="AE820" s="62"/>
      <c r="AF820" s="61"/>
      <c r="AG820" s="61"/>
      <c r="AH820" s="75"/>
      <c r="AI820" s="76"/>
      <c r="AJ820" s="92" t="s">
        <v>47</v>
      </c>
      <c r="AK820" s="93" t="s">
        <v>48</v>
      </c>
      <c r="AL820" s="93" t="s">
        <v>65</v>
      </c>
      <c r="AO820" s="59"/>
      <c r="AP820" s="60">
        <v>104</v>
      </c>
      <c r="AQ820" s="61"/>
      <c r="AR820" s="62"/>
      <c r="AS820" s="61"/>
      <c r="AT820" s="61"/>
      <c r="AU820" s="75"/>
      <c r="AV820" s="76"/>
      <c r="AW820" s="77"/>
      <c r="AX820" s="78" t="s">
        <v>30</v>
      </c>
      <c r="AY820" s="79">
        <f>AY817/4</f>
        <v>28.85</v>
      </c>
    </row>
    <row r="821" spans="2:51">
      <c r="B821" s="69"/>
      <c r="C821" s="70"/>
      <c r="D821" s="71"/>
      <c r="E821" s="70">
        <v>222</v>
      </c>
      <c r="F821" s="70">
        <v>22.2</v>
      </c>
      <c r="G821" s="70"/>
      <c r="H821" s="72"/>
      <c r="I821" s="73"/>
      <c r="J821" s="58"/>
      <c r="K821" s="58"/>
      <c r="L821" s="58"/>
      <c r="O821" s="59"/>
      <c r="P821" s="60"/>
      <c r="Q821" s="61"/>
      <c r="R821" s="62">
        <v>176</v>
      </c>
      <c r="S821" s="61"/>
      <c r="T821" s="61"/>
      <c r="U821" s="75"/>
      <c r="V821" s="76"/>
      <c r="W821" s="77"/>
      <c r="X821" s="77"/>
      <c r="Y821" s="87"/>
      <c r="AB821" s="69"/>
      <c r="AC821" s="70"/>
      <c r="AD821" s="71"/>
      <c r="AE821" s="70">
        <v>460</v>
      </c>
      <c r="AF821" s="70">
        <v>46</v>
      </c>
      <c r="AG821" s="70"/>
      <c r="AH821" s="72"/>
      <c r="AI821" s="73"/>
      <c r="AJ821" s="94" t="s">
        <v>52</v>
      </c>
      <c r="AK821" s="95" t="s">
        <v>27</v>
      </c>
      <c r="AL821" s="95" t="s">
        <v>43</v>
      </c>
      <c r="AO821" s="69"/>
      <c r="AP821" s="70">
        <v>373</v>
      </c>
      <c r="AQ821" s="71">
        <v>17</v>
      </c>
      <c r="AR821" s="70">
        <v>220</v>
      </c>
      <c r="AS821" s="70">
        <v>22</v>
      </c>
      <c r="AT821" s="70"/>
      <c r="AU821" s="72"/>
      <c r="AV821" s="73"/>
      <c r="AW821" s="77"/>
      <c r="AX821" s="80" t="s">
        <v>34</v>
      </c>
      <c r="AY821" s="81">
        <f>AY817/6</f>
        <v>19.2333333333333</v>
      </c>
    </row>
    <row r="822" spans="2:51">
      <c r="B822" s="59"/>
      <c r="C822" s="60">
        <v>133</v>
      </c>
      <c r="D822" s="61">
        <v>30</v>
      </c>
      <c r="E822" s="62"/>
      <c r="F822" s="61"/>
      <c r="G822" s="61"/>
      <c r="H822" s="75"/>
      <c r="I822" s="76"/>
      <c r="J822" s="58"/>
      <c r="K822" s="58"/>
      <c r="L822" s="58"/>
      <c r="O822" s="69"/>
      <c r="P822" s="70"/>
      <c r="Q822" s="71"/>
      <c r="R822" s="70"/>
      <c r="S822" s="70"/>
      <c r="T822" s="70"/>
      <c r="U822" s="72"/>
      <c r="V822" s="73"/>
      <c r="W822" s="58"/>
      <c r="X822" s="58"/>
      <c r="Y822" s="58"/>
      <c r="AB822" s="59"/>
      <c r="AC822" s="60"/>
      <c r="AD822" s="61"/>
      <c r="AE822" s="62">
        <v>553</v>
      </c>
      <c r="AF822" s="61">
        <v>55.3</v>
      </c>
      <c r="AG822" s="61"/>
      <c r="AH822" s="75"/>
      <c r="AI822" s="76"/>
      <c r="AJ822" s="77"/>
      <c r="AK822" s="77"/>
      <c r="AL822" s="87"/>
      <c r="AO822" s="59"/>
      <c r="AP822" s="60"/>
      <c r="AQ822" s="61"/>
      <c r="AR822" s="62">
        <v>176</v>
      </c>
      <c r="AS822" s="61"/>
      <c r="AT822" s="61"/>
      <c r="AU822" s="75"/>
      <c r="AV822" s="84"/>
      <c r="AW822" s="77"/>
      <c r="AX822" s="82" t="s">
        <v>37</v>
      </c>
      <c r="AY822" s="83">
        <f>AY817/8</f>
        <v>14.425</v>
      </c>
    </row>
    <row r="823" spans="2:51">
      <c r="B823" s="69"/>
      <c r="C823" s="71">
        <v>668</v>
      </c>
      <c r="D823" s="71">
        <v>70</v>
      </c>
      <c r="E823" s="70"/>
      <c r="F823" s="70"/>
      <c r="G823" s="70"/>
      <c r="H823" s="72"/>
      <c r="I823" s="73"/>
      <c r="J823" s="58"/>
      <c r="K823" s="58"/>
      <c r="L823" s="58"/>
      <c r="O823" s="59"/>
      <c r="P823" s="60"/>
      <c r="Q823" s="61"/>
      <c r="R823" s="62"/>
      <c r="S823" s="61"/>
      <c r="T823" s="61"/>
      <c r="U823" s="75"/>
      <c r="V823" s="76"/>
      <c r="W823" s="58"/>
      <c r="X823" s="58"/>
      <c r="Y823" s="58"/>
      <c r="AB823" s="69"/>
      <c r="AC823" s="70">
        <v>137</v>
      </c>
      <c r="AD823" s="71">
        <v>28</v>
      </c>
      <c r="AE823" s="70"/>
      <c r="AF823" s="70"/>
      <c r="AG823" s="70"/>
      <c r="AH823" s="72"/>
      <c r="AI823" s="73"/>
      <c r="AJ823" s="58"/>
      <c r="AK823" s="58"/>
      <c r="AL823" s="58"/>
      <c r="AO823" s="69"/>
      <c r="AP823" s="70">
        <v>130</v>
      </c>
      <c r="AQ823" s="85"/>
      <c r="AR823" s="70"/>
      <c r="AS823" s="70"/>
      <c r="AT823" s="70"/>
      <c r="AU823" s="72"/>
      <c r="AV823" s="73"/>
      <c r="AW823" s="86"/>
      <c r="AX823" s="77"/>
      <c r="AY823" s="87"/>
    </row>
    <row r="824" ht="22" customHeight="1" spans="2:51">
      <c r="B824" s="59"/>
      <c r="C824" s="61">
        <v>345</v>
      </c>
      <c r="D824" s="61">
        <v>50</v>
      </c>
      <c r="E824" s="62"/>
      <c r="F824" s="61"/>
      <c r="G824" s="61"/>
      <c r="H824" s="75"/>
      <c r="I824" s="76"/>
      <c r="J824" s="58"/>
      <c r="K824" s="58"/>
      <c r="L824" s="58"/>
      <c r="O824" s="96"/>
      <c r="P824" s="97"/>
      <c r="Q824" s="98"/>
      <c r="R824" s="99"/>
      <c r="S824" s="98"/>
      <c r="T824" s="98"/>
      <c r="U824" s="72"/>
      <c r="V824" s="73"/>
      <c r="AB824" s="59"/>
      <c r="AC824" s="60">
        <v>460</v>
      </c>
      <c r="AD824" s="61">
        <v>40</v>
      </c>
      <c r="AE824" s="62"/>
      <c r="AF824" s="61"/>
      <c r="AG824" s="61"/>
      <c r="AH824" s="75"/>
      <c r="AI824" s="76"/>
      <c r="AJ824" s="58"/>
      <c r="AK824" s="58"/>
      <c r="AL824" s="58"/>
      <c r="AO824" s="59"/>
      <c r="AP824" s="60"/>
      <c r="AQ824" s="61">
        <v>50</v>
      </c>
      <c r="AR824" s="62">
        <v>137</v>
      </c>
      <c r="AS824" s="61"/>
      <c r="AT824" s="61"/>
      <c r="AU824" s="75"/>
      <c r="AV824" s="84"/>
      <c r="AW824" s="77"/>
      <c r="AX824" s="58"/>
      <c r="AY824" s="58"/>
    </row>
    <row r="825" ht="15.75" spans="2:51">
      <c r="B825" s="69"/>
      <c r="C825" s="70"/>
      <c r="D825" s="71"/>
      <c r="E825" s="70">
        <v>394</v>
      </c>
      <c r="F825" s="70">
        <v>39.4</v>
      </c>
      <c r="G825" s="70"/>
      <c r="H825" s="72"/>
      <c r="I825" s="73"/>
      <c r="J825" s="58"/>
      <c r="K825" s="58"/>
      <c r="L825" s="58"/>
      <c r="O825" s="59"/>
      <c r="P825" s="60"/>
      <c r="Q825" s="61"/>
      <c r="R825" s="62"/>
      <c r="S825" s="61"/>
      <c r="T825" s="61"/>
      <c r="U825" s="75"/>
      <c r="V825" s="76"/>
      <c r="AB825" s="69"/>
      <c r="AC825" s="71">
        <v>400</v>
      </c>
      <c r="AD825" s="71">
        <v>100</v>
      </c>
      <c r="AE825" s="70"/>
      <c r="AF825" s="70"/>
      <c r="AG825" s="70"/>
      <c r="AH825" s="72"/>
      <c r="AI825" s="73"/>
      <c r="AJ825" s="58"/>
      <c r="AK825" s="58"/>
      <c r="AL825" s="58"/>
      <c r="AO825" s="69"/>
      <c r="AP825" s="70"/>
      <c r="AQ825" s="85"/>
      <c r="AR825" s="70">
        <v>399</v>
      </c>
      <c r="AS825" s="70"/>
      <c r="AT825" s="70"/>
      <c r="AU825" s="72"/>
      <c r="AV825" s="73"/>
      <c r="AW825" s="77"/>
      <c r="AX825" s="58"/>
      <c r="AY825" s="58"/>
    </row>
    <row r="826" ht="15.75" spans="2:51">
      <c r="B826" s="59"/>
      <c r="C826" s="60">
        <v>170</v>
      </c>
      <c r="D826" s="61">
        <v>32.5</v>
      </c>
      <c r="E826" s="62"/>
      <c r="F826" s="61"/>
      <c r="G826" s="61"/>
      <c r="H826" s="75"/>
      <c r="I826" s="76"/>
      <c r="O826" s="102">
        <f t="shared" ref="O826:T826" si="136">SUM(O809:O825)</f>
        <v>2314</v>
      </c>
      <c r="P826" s="103">
        <f t="shared" si="136"/>
        <v>1769</v>
      </c>
      <c r="Q826" s="104">
        <f t="shared" si="136"/>
        <v>410</v>
      </c>
      <c r="R826" s="105">
        <f t="shared" si="136"/>
        <v>4124</v>
      </c>
      <c r="S826" s="106">
        <f t="shared" si="136"/>
        <v>238.3</v>
      </c>
      <c r="T826" s="107">
        <f t="shared" si="136"/>
        <v>1832</v>
      </c>
      <c r="U826" s="108" t="s">
        <v>54</v>
      </c>
      <c r="V826" s="109"/>
      <c r="AB826" s="59"/>
      <c r="AC826" s="61"/>
      <c r="AD826" s="61"/>
      <c r="AE826" s="62">
        <v>683</v>
      </c>
      <c r="AF826" s="61">
        <v>102.45</v>
      </c>
      <c r="AG826" s="61"/>
      <c r="AH826" s="75"/>
      <c r="AI826" s="76"/>
      <c r="AJ826" s="58"/>
      <c r="AK826" s="58"/>
      <c r="AL826" s="58"/>
      <c r="AO826" s="59"/>
      <c r="AP826" s="60">
        <v>15</v>
      </c>
      <c r="AQ826" s="61"/>
      <c r="AR826" s="62"/>
      <c r="AS826" s="61"/>
      <c r="AT826" s="61"/>
      <c r="AU826" s="75"/>
      <c r="AV826" s="84"/>
      <c r="AW826" s="77"/>
      <c r="AX826" s="58"/>
      <c r="AY826" s="58"/>
    </row>
    <row r="827" spans="2:51">
      <c r="B827" s="69"/>
      <c r="C827" s="112"/>
      <c r="D827" s="71"/>
      <c r="E827" s="58">
        <v>274</v>
      </c>
      <c r="F827" s="70">
        <v>41.1</v>
      </c>
      <c r="G827" s="70"/>
      <c r="H827" s="72"/>
      <c r="I827" s="73"/>
      <c r="AB827" s="69"/>
      <c r="AC827" s="70"/>
      <c r="AD827" s="71"/>
      <c r="AE827" s="70"/>
      <c r="AF827" s="70"/>
      <c r="AG827" s="70"/>
      <c r="AH827" s="72"/>
      <c r="AI827" s="73"/>
      <c r="AJ827" s="58"/>
      <c r="AK827" s="58"/>
      <c r="AL827" s="58"/>
      <c r="AO827" s="69"/>
      <c r="AP827" s="70">
        <v>142</v>
      </c>
      <c r="AQ827" s="85">
        <v>10</v>
      </c>
      <c r="AR827" s="70"/>
      <c r="AS827" s="70"/>
      <c r="AT827" s="70"/>
      <c r="AU827" s="72"/>
      <c r="AV827" s="73"/>
      <c r="AW827" s="89" t="s">
        <v>44</v>
      </c>
      <c r="AX827" s="90" t="s">
        <v>45</v>
      </c>
      <c r="AY827" s="90" t="s">
        <v>46</v>
      </c>
    </row>
    <row r="828" ht="15.75" spans="2:51">
      <c r="B828" s="59"/>
      <c r="C828" s="60"/>
      <c r="D828" s="61"/>
      <c r="E828" s="62">
        <v>368</v>
      </c>
      <c r="F828" s="61">
        <v>55.2</v>
      </c>
      <c r="G828" s="61"/>
      <c r="H828" s="75"/>
      <c r="I828" s="76"/>
      <c r="AB828" s="59"/>
      <c r="AC828" s="60"/>
      <c r="AD828" s="61"/>
      <c r="AE828" s="62"/>
      <c r="AF828" s="61"/>
      <c r="AG828" s="61"/>
      <c r="AH828" s="75"/>
      <c r="AI828" s="76"/>
      <c r="AJ828" s="58"/>
      <c r="AK828" s="58"/>
      <c r="AL828" s="58"/>
      <c r="AO828" s="59"/>
      <c r="AP828" s="60"/>
      <c r="AQ828" s="61"/>
      <c r="AR828" s="62">
        <v>164</v>
      </c>
      <c r="AS828" s="61">
        <v>16.4</v>
      </c>
      <c r="AT828" s="61"/>
      <c r="AU828" s="75"/>
      <c r="AV828" s="84"/>
      <c r="AW828" s="92" t="s">
        <v>47</v>
      </c>
      <c r="AX828" s="93" t="s">
        <v>27</v>
      </c>
      <c r="AY828" s="93" t="s">
        <v>66</v>
      </c>
    </row>
    <row r="829" spans="2:51">
      <c r="B829" s="96"/>
      <c r="C829" s="97">
        <v>703</v>
      </c>
      <c r="D829" s="98">
        <v>202</v>
      </c>
      <c r="E829" s="99">
        <v>708</v>
      </c>
      <c r="F829" s="98">
        <v>82.6</v>
      </c>
      <c r="G829" s="98"/>
      <c r="H829" s="72"/>
      <c r="I829" s="73"/>
      <c r="O829" s="33" t="s">
        <v>368</v>
      </c>
      <c r="P829" s="34"/>
      <c r="Q829" s="34"/>
      <c r="R829" s="34"/>
      <c r="S829" s="34"/>
      <c r="T829" s="34"/>
      <c r="U829" s="34"/>
      <c r="V829" s="34"/>
      <c r="W829" s="34"/>
      <c r="X829" s="34"/>
      <c r="Y829" s="35"/>
      <c r="AB829" s="69"/>
      <c r="AC829" s="112"/>
      <c r="AD829" s="71"/>
      <c r="AE829" s="58"/>
      <c r="AF829" s="70"/>
      <c r="AG829" s="70"/>
      <c r="AH829" s="72"/>
      <c r="AI829" s="73"/>
      <c r="AJ829" s="58"/>
      <c r="AO829" s="69"/>
      <c r="AP829" s="70"/>
      <c r="AQ829" s="85"/>
      <c r="AR829" s="70"/>
      <c r="AS829" s="70"/>
      <c r="AT829" s="70"/>
      <c r="AU829" s="72"/>
      <c r="AV829" s="73"/>
      <c r="AW829" s="94" t="s">
        <v>52</v>
      </c>
      <c r="AX829" s="95" t="s">
        <v>48</v>
      </c>
      <c r="AY829" s="95" t="s">
        <v>65</v>
      </c>
    </row>
    <row r="830" ht="15.75" spans="2:51">
      <c r="B830" s="59"/>
      <c r="C830" s="60"/>
      <c r="D830" s="61"/>
      <c r="E830" s="62"/>
      <c r="F830" s="61"/>
      <c r="G830" s="61"/>
      <c r="H830" s="75"/>
      <c r="I830" s="76"/>
      <c r="O830" s="36"/>
      <c r="P830" s="37"/>
      <c r="Q830" s="37"/>
      <c r="R830" s="37"/>
      <c r="S830" s="37"/>
      <c r="T830" s="37"/>
      <c r="U830" s="37"/>
      <c r="V830" s="37"/>
      <c r="W830" s="37"/>
      <c r="X830" s="37"/>
      <c r="Y830" s="38"/>
      <c r="AB830" s="96"/>
      <c r="AC830" s="97"/>
      <c r="AD830" s="98"/>
      <c r="AE830" s="99"/>
      <c r="AF830" s="98"/>
      <c r="AG830" s="98"/>
      <c r="AH830" s="72"/>
      <c r="AI830" s="73"/>
      <c r="AO830" s="59"/>
      <c r="AP830" s="60"/>
      <c r="AQ830" s="61"/>
      <c r="AR830" s="62"/>
      <c r="AS830" s="61"/>
      <c r="AT830" s="61"/>
      <c r="AU830" s="75"/>
      <c r="AV830" s="84"/>
      <c r="AW830" s="77"/>
      <c r="AX830" s="77"/>
      <c r="AY830" s="87"/>
    </row>
    <row r="831" ht="15.75" spans="2:51">
      <c r="B831" s="118"/>
      <c r="C831" s="119"/>
      <c r="D831" s="120"/>
      <c r="E831" s="121"/>
      <c r="F831" s="120"/>
      <c r="G831" s="120"/>
      <c r="H831" s="122"/>
      <c r="I831" s="123"/>
      <c r="O831" s="39" t="s">
        <v>12</v>
      </c>
      <c r="P831" s="40" t="s">
        <v>13</v>
      </c>
      <c r="Q831" s="41"/>
      <c r="R831" s="42" t="s">
        <v>14</v>
      </c>
      <c r="S831" s="43"/>
      <c r="T831" s="44" t="s">
        <v>15</v>
      </c>
      <c r="U831" s="45"/>
      <c r="V831" s="46"/>
      <c r="W831" s="47" t="s">
        <v>16</v>
      </c>
      <c r="X831" s="48"/>
      <c r="Y831" s="49">
        <f>P860+R860</f>
        <v>9322</v>
      </c>
      <c r="AB831" s="102">
        <f t="shared" ref="AB831:AG831" si="137">SUM(AB810:AB830)</f>
        <v>3883</v>
      </c>
      <c r="AC831" s="103">
        <f t="shared" si="137"/>
        <v>2491</v>
      </c>
      <c r="AD831" s="104">
        <f t="shared" si="137"/>
        <v>273</v>
      </c>
      <c r="AE831" s="105">
        <f t="shared" si="137"/>
        <v>4787</v>
      </c>
      <c r="AF831" s="106">
        <f t="shared" si="137"/>
        <v>477.85</v>
      </c>
      <c r="AG831" s="107">
        <f t="shared" si="137"/>
        <v>6489</v>
      </c>
      <c r="AH831" s="108" t="s">
        <v>54</v>
      </c>
      <c r="AI831" s="109"/>
      <c r="AO831" s="69"/>
      <c r="AP831" s="70"/>
      <c r="AQ831" s="85"/>
      <c r="AR831" s="70"/>
      <c r="AS831" s="70"/>
      <c r="AT831" s="70"/>
      <c r="AU831" s="72"/>
      <c r="AV831" s="73"/>
      <c r="AW831" s="58"/>
      <c r="AX831" s="58"/>
      <c r="AY831" s="58"/>
    </row>
    <row r="832" ht="15.75" spans="2:51">
      <c r="B832" s="59"/>
      <c r="C832" s="61"/>
      <c r="D832" s="61"/>
      <c r="E832" s="62"/>
      <c r="F832" s="61"/>
      <c r="G832" s="61"/>
      <c r="H832" s="75"/>
      <c r="I832" s="76"/>
      <c r="O832" s="50"/>
      <c r="P832" s="51" t="s">
        <v>17</v>
      </c>
      <c r="Q832" s="51" t="s">
        <v>18</v>
      </c>
      <c r="R832" s="52" t="s">
        <v>17</v>
      </c>
      <c r="S832" s="52" t="s">
        <v>18</v>
      </c>
      <c r="T832" s="53"/>
      <c r="U832" s="54"/>
      <c r="V832" s="55"/>
      <c r="W832" s="56" t="s">
        <v>19</v>
      </c>
      <c r="X832" s="57"/>
      <c r="Y832" s="49">
        <f>Q860+S860</f>
        <v>895.55</v>
      </c>
      <c r="AO832" s="59"/>
      <c r="AP832" s="60"/>
      <c r="AQ832" s="61"/>
      <c r="AR832" s="62"/>
      <c r="AS832" s="61"/>
      <c r="AT832" s="61"/>
      <c r="AU832" s="75"/>
      <c r="AV832" s="76"/>
    </row>
    <row r="833" ht="15.75" spans="2:51">
      <c r="B833" s="69"/>
      <c r="C833" s="70"/>
      <c r="D833" s="71"/>
      <c r="E833" s="70"/>
      <c r="F833" s="70"/>
      <c r="G833" s="70"/>
      <c r="H833" s="72"/>
      <c r="I833" s="73"/>
      <c r="O833" s="59">
        <v>660</v>
      </c>
      <c r="P833" s="133"/>
      <c r="Q833" s="61"/>
      <c r="R833" s="60">
        <v>966</v>
      </c>
      <c r="S833" s="61">
        <v>96.6</v>
      </c>
      <c r="T833" s="61">
        <v>25</v>
      </c>
      <c r="U833" s="63" t="s">
        <v>29</v>
      </c>
      <c r="V833" s="64"/>
      <c r="W833" s="65" t="s">
        <v>21</v>
      </c>
      <c r="X833" s="66"/>
      <c r="Y833" s="67">
        <f>T860</f>
        <v>226</v>
      </c>
      <c r="AO833" s="96"/>
      <c r="AP833" s="97"/>
      <c r="AQ833" s="98"/>
      <c r="AR833" s="99"/>
      <c r="AS833" s="98"/>
      <c r="AT833" s="98"/>
      <c r="AU833" s="72"/>
      <c r="AV833" s="73"/>
    </row>
    <row r="834" ht="15.75" spans="2:51">
      <c r="B834" s="59"/>
      <c r="C834" s="60"/>
      <c r="D834" s="61"/>
      <c r="E834" s="62"/>
      <c r="F834" s="61"/>
      <c r="G834" s="61"/>
      <c r="H834" s="75"/>
      <c r="I834" s="76"/>
      <c r="O834" s="69"/>
      <c r="P834" s="110">
        <v>115</v>
      </c>
      <c r="Q834" s="71"/>
      <c r="R834" s="70"/>
      <c r="S834" s="71"/>
      <c r="T834" s="70">
        <v>35</v>
      </c>
      <c r="U834" s="72" t="s">
        <v>369</v>
      </c>
      <c r="V834" s="73"/>
      <c r="W834" s="74" t="s">
        <v>26</v>
      </c>
      <c r="X834" s="57"/>
      <c r="Y834" s="49">
        <f>O860+Y831+Y832-Y833-R860-S860</f>
        <v>4017</v>
      </c>
      <c r="AB834" s="33" t="s">
        <v>370</v>
      </c>
      <c r="AC834" s="34"/>
      <c r="AD834" s="34"/>
      <c r="AE834" s="34"/>
      <c r="AF834" s="34"/>
      <c r="AG834" s="34"/>
      <c r="AH834" s="34"/>
      <c r="AI834" s="34"/>
      <c r="AJ834" s="34"/>
      <c r="AK834" s="34"/>
      <c r="AL834" s="35"/>
      <c r="AO834" s="102">
        <f t="shared" ref="AO834:AT834" si="138">SUM(AO818:AO833)</f>
        <v>499</v>
      </c>
      <c r="AP834" s="103">
        <f t="shared" si="138"/>
        <v>919</v>
      </c>
      <c r="AQ834" s="104">
        <f t="shared" si="138"/>
        <v>77</v>
      </c>
      <c r="AR834" s="105">
        <f t="shared" si="138"/>
        <v>1096</v>
      </c>
      <c r="AS834" s="106">
        <f t="shared" si="138"/>
        <v>38.4</v>
      </c>
      <c r="AT834" s="107">
        <f t="shared" si="138"/>
        <v>30</v>
      </c>
      <c r="AU834" s="108" t="s">
        <v>54</v>
      </c>
      <c r="AV834" s="109"/>
    </row>
    <row r="835" ht="15.75" spans="2:51">
      <c r="B835" s="69"/>
      <c r="C835" s="112"/>
      <c r="D835" s="71"/>
      <c r="E835" s="58"/>
      <c r="F835" s="70"/>
      <c r="G835" s="70"/>
      <c r="H835" s="72"/>
      <c r="I835" s="73"/>
      <c r="O835" s="59"/>
      <c r="P835" s="60"/>
      <c r="Q835" s="60"/>
      <c r="R835" s="60">
        <v>425</v>
      </c>
      <c r="S835" s="133">
        <v>63.75</v>
      </c>
      <c r="T835" s="61">
        <v>34.5</v>
      </c>
      <c r="U835" s="75" t="s">
        <v>28</v>
      </c>
      <c r="V835" s="76"/>
      <c r="W835" s="77"/>
      <c r="X835" s="78" t="s">
        <v>30</v>
      </c>
      <c r="Y835" s="79">
        <f>Y832/4</f>
        <v>223.8875</v>
      </c>
      <c r="AB835" s="36"/>
      <c r="AC835" s="37"/>
      <c r="AD835" s="37"/>
      <c r="AE835" s="37"/>
      <c r="AF835" s="37"/>
      <c r="AG835" s="37"/>
      <c r="AH835" s="37"/>
      <c r="AI835" s="37"/>
      <c r="AJ835" s="37"/>
      <c r="AK835" s="37"/>
      <c r="AL835" s="38"/>
    </row>
    <row r="836" ht="15.75" spans="2:51">
      <c r="B836" s="59"/>
      <c r="C836" s="60"/>
      <c r="D836" s="61"/>
      <c r="E836" s="62"/>
      <c r="F836" s="61"/>
      <c r="G836" s="61"/>
      <c r="H836" s="75"/>
      <c r="I836" s="76"/>
      <c r="O836" s="69"/>
      <c r="P836" s="70">
        <v>16</v>
      </c>
      <c r="Q836" s="71"/>
      <c r="R836" s="70"/>
      <c r="S836" s="120"/>
      <c r="T836" s="70">
        <v>58</v>
      </c>
      <c r="U836" s="72" t="s">
        <v>292</v>
      </c>
      <c r="V836" s="73"/>
      <c r="W836" s="77"/>
      <c r="X836" s="80" t="s">
        <v>34</v>
      </c>
      <c r="Y836" s="81">
        <f>Y832/6</f>
        <v>149.258333333333</v>
      </c>
      <c r="AB836" s="39" t="s">
        <v>12</v>
      </c>
      <c r="AC836" s="40" t="s">
        <v>13</v>
      </c>
      <c r="AD836" s="41"/>
      <c r="AE836" s="42" t="s">
        <v>14</v>
      </c>
      <c r="AF836" s="43"/>
      <c r="AG836" s="44" t="s">
        <v>15</v>
      </c>
      <c r="AH836" s="45"/>
      <c r="AI836" s="46"/>
      <c r="AJ836" s="47" t="s">
        <v>16</v>
      </c>
      <c r="AK836" s="48"/>
      <c r="AL836" s="49">
        <f>AC857+AE857</f>
        <v>3127</v>
      </c>
    </row>
    <row r="837" ht="15.75" spans="2:51">
      <c r="B837" s="96"/>
      <c r="C837" s="97"/>
      <c r="D837" s="98"/>
      <c r="E837" s="99"/>
      <c r="F837" s="98"/>
      <c r="G837" s="98"/>
      <c r="H837" s="72"/>
      <c r="I837" s="73"/>
      <c r="O837" s="59"/>
      <c r="P837" s="61">
        <v>175</v>
      </c>
      <c r="Q837" s="61"/>
      <c r="R837" s="62"/>
      <c r="S837" s="129"/>
      <c r="T837" s="61">
        <v>25</v>
      </c>
      <c r="U837" s="75" t="s">
        <v>29</v>
      </c>
      <c r="V837" s="76"/>
      <c r="W837" s="77"/>
      <c r="X837" s="82" t="s">
        <v>37</v>
      </c>
      <c r="Y837" s="83">
        <f>Y832/8</f>
        <v>111.94375</v>
      </c>
      <c r="AB837" s="50"/>
      <c r="AC837" s="51" t="s">
        <v>17</v>
      </c>
      <c r="AD837" s="51" t="s">
        <v>18</v>
      </c>
      <c r="AE837" s="52" t="s">
        <v>17</v>
      </c>
      <c r="AF837" s="52" t="s">
        <v>18</v>
      </c>
      <c r="AG837" s="53"/>
      <c r="AH837" s="54"/>
      <c r="AI837" s="55"/>
      <c r="AJ837" s="56" t="s">
        <v>19</v>
      </c>
      <c r="AK837" s="57"/>
      <c r="AL837" s="49">
        <f>AD857+AF857</f>
        <v>381.35</v>
      </c>
      <c r="AO837" s="33" t="s">
        <v>371</v>
      </c>
      <c r="AP837" s="34"/>
      <c r="AQ837" s="34"/>
      <c r="AR837" s="34"/>
      <c r="AS837" s="34"/>
      <c r="AT837" s="34"/>
      <c r="AU837" s="34"/>
      <c r="AV837" s="34"/>
      <c r="AW837" s="34"/>
      <c r="AX837" s="34"/>
      <c r="AY837" s="35"/>
    </row>
    <row r="838" ht="15.75" spans="2:51">
      <c r="B838" s="102">
        <f t="shared" ref="B838:G838" si="139">SUM(B808:B837)</f>
        <v>4726</v>
      </c>
      <c r="C838" s="103">
        <f t="shared" si="139"/>
        <v>4584</v>
      </c>
      <c r="D838" s="104">
        <f t="shared" si="139"/>
        <v>592.5</v>
      </c>
      <c r="E838" s="105">
        <f t="shared" si="139"/>
        <v>7163</v>
      </c>
      <c r="F838" s="106">
        <f t="shared" si="139"/>
        <v>774</v>
      </c>
      <c r="G838" s="107">
        <f t="shared" si="139"/>
        <v>6139.4</v>
      </c>
      <c r="H838" s="108" t="s">
        <v>54</v>
      </c>
      <c r="I838" s="109"/>
      <c r="O838" s="69"/>
      <c r="P838" s="119"/>
      <c r="Q838" s="85"/>
      <c r="R838" s="70">
        <v>236</v>
      </c>
      <c r="S838" s="70">
        <v>23.6</v>
      </c>
      <c r="T838" s="70">
        <v>48.5</v>
      </c>
      <c r="U838" s="72" t="s">
        <v>42</v>
      </c>
      <c r="V838" s="73"/>
      <c r="W838" s="86"/>
      <c r="X838" s="77"/>
      <c r="Y838" s="87"/>
      <c r="AB838" s="59">
        <v>158</v>
      </c>
      <c r="AC838" s="68">
        <v>8</v>
      </c>
      <c r="AD838" s="61"/>
      <c r="AE838" s="62"/>
      <c r="AF838" s="61"/>
      <c r="AG838" s="61">
        <v>25</v>
      </c>
      <c r="AH838" s="63" t="s">
        <v>29</v>
      </c>
      <c r="AI838" s="64"/>
      <c r="AJ838" s="65" t="s">
        <v>21</v>
      </c>
      <c r="AK838" s="66"/>
      <c r="AL838" s="67">
        <f>AG857</f>
        <v>665</v>
      </c>
      <c r="AO838" s="36"/>
      <c r="AP838" s="37"/>
      <c r="AQ838" s="37"/>
      <c r="AR838" s="37"/>
      <c r="AS838" s="37"/>
      <c r="AT838" s="37"/>
      <c r="AU838" s="37"/>
      <c r="AV838" s="37"/>
      <c r="AW838" s="37"/>
      <c r="AX838" s="37"/>
      <c r="AY838" s="38"/>
    </row>
    <row r="839" ht="15.75" spans="2:51">
      <c r="O839" s="59"/>
      <c r="P839" s="60"/>
      <c r="Q839" s="61"/>
      <c r="R839" s="62">
        <v>225</v>
      </c>
      <c r="S839" s="61">
        <v>22.5</v>
      </c>
      <c r="T839" s="61"/>
      <c r="U839" s="75"/>
      <c r="V839" s="76"/>
      <c r="W839" s="77"/>
      <c r="X839" s="58"/>
      <c r="Y839" s="58"/>
      <c r="AB839" s="69">
        <v>420</v>
      </c>
      <c r="AC839" s="70"/>
      <c r="AD839" s="71"/>
      <c r="AE839" s="70">
        <v>345</v>
      </c>
      <c r="AF839" s="70">
        <v>51.75</v>
      </c>
      <c r="AG839" s="70">
        <v>140</v>
      </c>
      <c r="AH839" s="72" t="s">
        <v>63</v>
      </c>
      <c r="AI839" s="73"/>
      <c r="AJ839" s="74" t="s">
        <v>26</v>
      </c>
      <c r="AK839" s="57"/>
      <c r="AL839" s="49">
        <f>AB857+AL836+AL837-AL838-AE857-AF857</f>
        <v>373</v>
      </c>
      <c r="AO839" s="39" t="s">
        <v>12</v>
      </c>
      <c r="AP839" s="40" t="s">
        <v>13</v>
      </c>
      <c r="AQ839" s="41"/>
      <c r="AR839" s="42" t="s">
        <v>14</v>
      </c>
      <c r="AS839" s="43"/>
      <c r="AT839" s="44" t="s">
        <v>15</v>
      </c>
      <c r="AU839" s="45"/>
      <c r="AV839" s="46"/>
      <c r="AW839" s="47" t="s">
        <v>16</v>
      </c>
      <c r="AX839" s="48"/>
      <c r="AY839" s="49">
        <f>AP861+AR861</f>
        <v>2987</v>
      </c>
    </row>
    <row r="840" ht="15.75" spans="2:51">
      <c r="O840" s="69"/>
      <c r="P840" s="110">
        <v>839</v>
      </c>
      <c r="Q840" s="91">
        <v>111</v>
      </c>
      <c r="R840" s="70"/>
      <c r="S840" s="70"/>
      <c r="T840" s="70"/>
      <c r="U840" s="72"/>
      <c r="V840" s="73"/>
      <c r="W840" s="77"/>
      <c r="X840" s="58"/>
      <c r="Y840" s="58"/>
      <c r="AB840" s="59"/>
      <c r="AC840" s="60">
        <v>224</v>
      </c>
      <c r="AD840" s="61">
        <v>26</v>
      </c>
      <c r="AE840" s="62"/>
      <c r="AF840" s="61"/>
      <c r="AG840" s="61">
        <v>500</v>
      </c>
      <c r="AH840" s="75" t="s">
        <v>48</v>
      </c>
      <c r="AI840" s="76"/>
      <c r="AJ840" s="77"/>
      <c r="AK840" s="78" t="s">
        <v>30</v>
      </c>
      <c r="AL840" s="79">
        <f>AL837/4</f>
        <v>95.3375</v>
      </c>
      <c r="AO840" s="50"/>
      <c r="AP840" s="51" t="s">
        <v>17</v>
      </c>
      <c r="AQ840" s="51" t="s">
        <v>18</v>
      </c>
      <c r="AR840" s="52" t="s">
        <v>17</v>
      </c>
      <c r="AS840" s="52" t="s">
        <v>18</v>
      </c>
      <c r="AT840" s="53"/>
      <c r="AU840" s="54"/>
      <c r="AV840" s="55"/>
      <c r="AW840" s="56" t="s">
        <v>19</v>
      </c>
      <c r="AX840" s="57"/>
      <c r="AY840" s="49">
        <f>AQ861+AS861</f>
        <v>203.45</v>
      </c>
    </row>
    <row r="841" ht="15.75" spans="2:51">
      <c r="B841" s="33" t="s">
        <v>372</v>
      </c>
      <c r="C841" s="34"/>
      <c r="D841" s="34"/>
      <c r="E841" s="34"/>
      <c r="F841" s="34"/>
      <c r="G841" s="34"/>
      <c r="H841" s="34"/>
      <c r="I841" s="34"/>
      <c r="J841" s="34"/>
      <c r="K841" s="34"/>
      <c r="L841" s="35"/>
      <c r="O841" s="59"/>
      <c r="P841" s="60">
        <v>460</v>
      </c>
      <c r="Q841" s="88">
        <v>40</v>
      </c>
      <c r="R841" s="62"/>
      <c r="S841" s="61"/>
      <c r="T841" s="61"/>
      <c r="U841" s="75"/>
      <c r="V841" s="76"/>
      <c r="W841" s="77"/>
      <c r="X841" s="58"/>
      <c r="Y841" s="58"/>
      <c r="AB841" s="69"/>
      <c r="AC841" s="70"/>
      <c r="AD841" s="71"/>
      <c r="AE841" s="70">
        <v>523</v>
      </c>
      <c r="AF841" s="70"/>
      <c r="AG841" s="70"/>
      <c r="AH841" s="72"/>
      <c r="AI841" s="73"/>
      <c r="AJ841" s="77"/>
      <c r="AK841" s="80" t="s">
        <v>34</v>
      </c>
      <c r="AL841" s="81">
        <f>AL837/6</f>
        <v>63.5583333333333</v>
      </c>
      <c r="AO841" s="59">
        <v>465</v>
      </c>
      <c r="AP841" s="68">
        <v>175</v>
      </c>
      <c r="AQ841" s="61"/>
      <c r="AR841" s="62"/>
      <c r="AS841" s="61"/>
      <c r="AT841" s="61">
        <v>200</v>
      </c>
      <c r="AU841" s="63" t="s">
        <v>86</v>
      </c>
      <c r="AV841" s="64"/>
      <c r="AW841" s="65" t="s">
        <v>21</v>
      </c>
      <c r="AX841" s="66"/>
      <c r="AY841" s="67">
        <f>AT861</f>
        <v>230</v>
      </c>
    </row>
    <row r="842" ht="15.75" spans="2:51">
      <c r="B842" s="36"/>
      <c r="C842" s="37"/>
      <c r="D842" s="37"/>
      <c r="E842" s="37"/>
      <c r="F842" s="37"/>
      <c r="G842" s="37"/>
      <c r="H842" s="37"/>
      <c r="I842" s="37"/>
      <c r="J842" s="37"/>
      <c r="K842" s="37"/>
      <c r="L842" s="38"/>
      <c r="O842" s="69"/>
      <c r="P842" s="70">
        <v>142</v>
      </c>
      <c r="Q842" s="71"/>
      <c r="R842" s="70"/>
      <c r="S842" s="70"/>
      <c r="T842" s="70"/>
      <c r="U842" s="72"/>
      <c r="V842" s="73"/>
      <c r="W842" s="89" t="s">
        <v>44</v>
      </c>
      <c r="X842" s="90" t="s">
        <v>45</v>
      </c>
      <c r="Y842" s="90" t="s">
        <v>46</v>
      </c>
      <c r="AB842" s="59"/>
      <c r="AC842" s="60">
        <v>50</v>
      </c>
      <c r="AD842" s="61"/>
      <c r="AE842" s="62"/>
      <c r="AF842" s="61"/>
      <c r="AG842" s="61"/>
      <c r="AH842" s="75"/>
      <c r="AI842" s="84"/>
      <c r="AJ842" s="77"/>
      <c r="AK842" s="82" t="s">
        <v>37</v>
      </c>
      <c r="AL842" s="83">
        <f>AL837/8</f>
        <v>47.66875</v>
      </c>
      <c r="AO842" s="69">
        <v>100</v>
      </c>
      <c r="AP842" s="70"/>
      <c r="AQ842" s="71"/>
      <c r="AR842" s="70">
        <v>338</v>
      </c>
      <c r="AS842" s="70">
        <v>33.8</v>
      </c>
      <c r="AT842" s="70">
        <v>30</v>
      </c>
      <c r="AU842" s="72" t="s">
        <v>29</v>
      </c>
      <c r="AV842" s="73"/>
      <c r="AW842" s="74" t="s">
        <v>26</v>
      </c>
      <c r="AX842" s="57"/>
      <c r="AY842" s="49">
        <f>AO861+AY839+AY840-AY841-AR861-AS861</f>
        <v>510</v>
      </c>
    </row>
    <row r="843" ht="15.75" spans="2:51">
      <c r="B843" s="39" t="s">
        <v>12</v>
      </c>
      <c r="C843" s="40" t="s">
        <v>13</v>
      </c>
      <c r="D843" s="41"/>
      <c r="E843" s="42" t="s">
        <v>14</v>
      </c>
      <c r="F843" s="43"/>
      <c r="G843" s="44" t="s">
        <v>15</v>
      </c>
      <c r="H843" s="45"/>
      <c r="I843" s="46"/>
      <c r="J843" s="47" t="s">
        <v>16</v>
      </c>
      <c r="K843" s="48"/>
      <c r="L843" s="49">
        <f>C870+E870</f>
        <v>6892</v>
      </c>
      <c r="O843" s="59"/>
      <c r="P843" s="60">
        <v>35</v>
      </c>
      <c r="Q843" s="61"/>
      <c r="R843" s="62"/>
      <c r="S843" s="61"/>
      <c r="T843" s="61"/>
      <c r="U843" s="75"/>
      <c r="V843" s="76"/>
      <c r="W843" s="92" t="s">
        <v>47</v>
      </c>
      <c r="X843" s="93" t="s">
        <v>48</v>
      </c>
      <c r="Y843" s="93" t="s">
        <v>65</v>
      </c>
      <c r="AB843" s="69"/>
      <c r="AC843" s="70">
        <v>15</v>
      </c>
      <c r="AD843" s="85"/>
      <c r="AE843" s="70"/>
      <c r="AF843" s="70"/>
      <c r="AG843" s="70"/>
      <c r="AH843" s="72"/>
      <c r="AI843" s="73"/>
      <c r="AJ843" s="86"/>
      <c r="AK843" s="77"/>
      <c r="AL843" s="87"/>
      <c r="AO843" s="59"/>
      <c r="AP843" s="60"/>
      <c r="AQ843" s="61"/>
      <c r="AR843" s="62">
        <v>220</v>
      </c>
      <c r="AS843" s="61">
        <v>11</v>
      </c>
      <c r="AT843" s="61"/>
      <c r="AU843" s="75"/>
      <c r="AV843" s="76"/>
      <c r="AW843" s="77"/>
      <c r="AX843" s="78" t="s">
        <v>30</v>
      </c>
      <c r="AY843" s="79">
        <f>AY840/4</f>
        <v>50.8625</v>
      </c>
    </row>
    <row r="844" ht="15.75" spans="2:51">
      <c r="B844" s="50"/>
      <c r="C844" s="51" t="s">
        <v>17</v>
      </c>
      <c r="D844" s="51" t="s">
        <v>18</v>
      </c>
      <c r="E844" s="52" t="s">
        <v>17</v>
      </c>
      <c r="F844" s="52" t="s">
        <v>18</v>
      </c>
      <c r="G844" s="53"/>
      <c r="H844" s="54"/>
      <c r="I844" s="55"/>
      <c r="J844" s="56" t="s">
        <v>19</v>
      </c>
      <c r="K844" s="57"/>
      <c r="L844" s="49">
        <f>D870+F870</f>
        <v>674.45</v>
      </c>
      <c r="O844" s="69"/>
      <c r="P844" s="70"/>
      <c r="Q844" s="71"/>
      <c r="R844" s="70"/>
      <c r="S844" s="70"/>
      <c r="T844" s="70"/>
      <c r="U844" s="72"/>
      <c r="V844" s="73"/>
      <c r="W844" s="94" t="s">
        <v>52</v>
      </c>
      <c r="X844" s="95" t="s">
        <v>27</v>
      </c>
      <c r="Y844" s="95" t="s">
        <v>43</v>
      </c>
      <c r="AB844" s="59"/>
      <c r="AC844" s="60"/>
      <c r="AD844" s="61"/>
      <c r="AE844" s="62">
        <v>384</v>
      </c>
      <c r="AF844" s="61">
        <v>57.6</v>
      </c>
      <c r="AG844" s="61"/>
      <c r="AH844" s="75"/>
      <c r="AI844" s="76"/>
      <c r="AJ844" s="77"/>
      <c r="AK844" s="58"/>
      <c r="AL844" s="58"/>
      <c r="AO844" s="69"/>
      <c r="AP844" s="70"/>
      <c r="AQ844" s="71"/>
      <c r="AR844" s="70">
        <v>235</v>
      </c>
      <c r="AS844" s="70">
        <v>23.5</v>
      </c>
      <c r="AT844" s="70"/>
      <c r="AU844" s="72"/>
      <c r="AV844" s="73"/>
      <c r="AW844" s="77"/>
      <c r="AX844" s="80" t="s">
        <v>34</v>
      </c>
      <c r="AY844" s="81">
        <f>AY840/6</f>
        <v>33.9083333333333</v>
      </c>
    </row>
    <row r="845" ht="15.75" spans="2:51">
      <c r="B845" s="59">
        <v>2760</v>
      </c>
      <c r="C845" s="60">
        <v>996</v>
      </c>
      <c r="D845" s="61">
        <v>90</v>
      </c>
      <c r="E845" s="62"/>
      <c r="F845" s="61"/>
      <c r="G845" s="61">
        <v>140</v>
      </c>
      <c r="H845" s="63" t="s">
        <v>63</v>
      </c>
      <c r="I845" s="64"/>
      <c r="J845" s="65" t="s">
        <v>21</v>
      </c>
      <c r="K845" s="66"/>
      <c r="L845" s="67">
        <f>G870</f>
        <v>4620</v>
      </c>
      <c r="O845" s="59"/>
      <c r="P845" s="60"/>
      <c r="Q845" s="61"/>
      <c r="R845" s="62">
        <v>137</v>
      </c>
      <c r="S845" s="61"/>
      <c r="T845" s="61"/>
      <c r="U845" s="75"/>
      <c r="V845" s="76"/>
      <c r="W845" s="77"/>
      <c r="X845" s="77"/>
      <c r="Y845" s="87"/>
      <c r="AB845" s="69"/>
      <c r="AC845" s="70"/>
      <c r="AD845" s="71"/>
      <c r="AE845" s="70">
        <v>187</v>
      </c>
      <c r="AF845" s="70">
        <v>18.7</v>
      </c>
      <c r="AG845" s="70"/>
      <c r="AH845" s="72"/>
      <c r="AI845" s="73"/>
      <c r="AJ845" s="77"/>
      <c r="AK845" s="58"/>
      <c r="AL845" s="58"/>
      <c r="AO845" s="59"/>
      <c r="AP845" s="60"/>
      <c r="AQ845" s="61"/>
      <c r="AR845" s="62">
        <v>585</v>
      </c>
      <c r="AS845" s="61"/>
      <c r="AT845" s="61"/>
      <c r="AU845" s="75"/>
      <c r="AV845" s="84"/>
      <c r="AW845" s="77"/>
      <c r="AX845" s="82" t="s">
        <v>37</v>
      </c>
      <c r="AY845" s="83">
        <f>AY840/8</f>
        <v>25.43125</v>
      </c>
    </row>
    <row r="846" ht="15.75" spans="2:51">
      <c r="B846" s="69">
        <v>100</v>
      </c>
      <c r="C846" s="70"/>
      <c r="D846" s="71"/>
      <c r="E846" s="70">
        <v>268</v>
      </c>
      <c r="F846" s="70">
        <v>13.4</v>
      </c>
      <c r="G846" s="70">
        <v>30</v>
      </c>
      <c r="H846" s="72" t="s">
        <v>97</v>
      </c>
      <c r="I846" s="73"/>
      <c r="J846" s="74" t="s">
        <v>26</v>
      </c>
      <c r="K846" s="57"/>
      <c r="L846" s="49">
        <f>B870+L843+L844-L845-E870-F870</f>
        <v>3288</v>
      </c>
      <c r="O846" s="69"/>
      <c r="P846" s="70"/>
      <c r="Q846" s="71"/>
      <c r="R846" s="70">
        <v>1097</v>
      </c>
      <c r="S846" s="70">
        <v>109</v>
      </c>
      <c r="T846" s="70"/>
      <c r="U846" s="72"/>
      <c r="V846" s="73"/>
      <c r="W846" s="58"/>
      <c r="X846" s="58"/>
      <c r="Y846" s="58"/>
      <c r="AB846" s="59"/>
      <c r="AC846" s="60"/>
      <c r="AD846" s="88"/>
      <c r="AE846" s="62">
        <v>235</v>
      </c>
      <c r="AF846" s="61">
        <v>23.5</v>
      </c>
      <c r="AG846" s="61"/>
      <c r="AH846" s="75"/>
      <c r="AI846" s="76"/>
      <c r="AJ846" s="77"/>
      <c r="AK846" s="58"/>
      <c r="AL846" s="58"/>
      <c r="AO846" s="69"/>
      <c r="AP846" s="70"/>
      <c r="AQ846" s="85"/>
      <c r="AR846" s="70">
        <v>148</v>
      </c>
      <c r="AS846" s="70">
        <v>7.4</v>
      </c>
      <c r="AT846" s="70"/>
      <c r="AU846" s="72"/>
      <c r="AV846" s="73"/>
      <c r="AW846" s="86"/>
      <c r="AX846" s="77"/>
      <c r="AY846" s="87"/>
    </row>
    <row r="847" spans="2:51">
      <c r="B847" s="59"/>
      <c r="C847" s="60">
        <v>864</v>
      </c>
      <c r="D847" s="61">
        <v>100</v>
      </c>
      <c r="E847" s="62"/>
      <c r="F847" s="61"/>
      <c r="G847" s="61">
        <v>2850</v>
      </c>
      <c r="H847" s="75" t="s">
        <v>48</v>
      </c>
      <c r="I847" s="76"/>
      <c r="J847" s="77"/>
      <c r="K847" s="78" t="s">
        <v>30</v>
      </c>
      <c r="L847" s="79">
        <f>L844/4</f>
        <v>168.6125</v>
      </c>
      <c r="O847" s="59"/>
      <c r="P847" s="60">
        <v>538</v>
      </c>
      <c r="Q847" s="61">
        <v>42</v>
      </c>
      <c r="R847" s="62">
        <v>488</v>
      </c>
      <c r="S847" s="61">
        <v>60.3</v>
      </c>
      <c r="T847" s="61"/>
      <c r="U847" s="75"/>
      <c r="V847" s="76"/>
      <c r="W847" s="58"/>
      <c r="X847" s="58"/>
      <c r="Y847" s="58"/>
      <c r="AB847" s="69"/>
      <c r="AC847" s="70"/>
      <c r="AD847" s="71"/>
      <c r="AE847" s="70">
        <v>629</v>
      </c>
      <c r="AF847" s="70">
        <v>125.8</v>
      </c>
      <c r="AG847" s="70"/>
      <c r="AH847" s="72"/>
      <c r="AI847" s="73"/>
      <c r="AJ847" s="89" t="s">
        <v>44</v>
      </c>
      <c r="AK847" s="90" t="s">
        <v>45</v>
      </c>
      <c r="AL847" s="90" t="s">
        <v>46</v>
      </c>
      <c r="AO847" s="59"/>
      <c r="AP847" s="60"/>
      <c r="AQ847" s="61"/>
      <c r="AR847" s="62">
        <v>430</v>
      </c>
      <c r="AS847" s="61">
        <v>21.5</v>
      </c>
      <c r="AT847" s="61"/>
      <c r="AU847" s="75"/>
      <c r="AV847" s="84"/>
      <c r="AW847" s="77"/>
      <c r="AX847" s="58"/>
      <c r="AY847" s="58"/>
    </row>
    <row r="848" spans="2:51">
      <c r="B848" s="69"/>
      <c r="C848" s="70">
        <v>340</v>
      </c>
      <c r="D848" s="71">
        <v>60</v>
      </c>
      <c r="E848" s="70"/>
      <c r="F848" s="70"/>
      <c r="G848" s="70">
        <v>1600</v>
      </c>
      <c r="H848" s="72" t="s">
        <v>66</v>
      </c>
      <c r="I848" s="73"/>
      <c r="J848" s="77"/>
      <c r="K848" s="80" t="s">
        <v>34</v>
      </c>
      <c r="L848" s="81">
        <f>L844/6</f>
        <v>112.408333333333</v>
      </c>
      <c r="O848" s="69"/>
      <c r="P848" s="70"/>
      <c r="Q848" s="71"/>
      <c r="R848" s="70">
        <v>823</v>
      </c>
      <c r="S848" s="70">
        <v>70</v>
      </c>
      <c r="T848" s="70"/>
      <c r="U848" s="72"/>
      <c r="V848" s="73"/>
      <c r="W848" s="58"/>
      <c r="X848" s="58"/>
      <c r="Y848" s="58"/>
      <c r="AB848" s="59"/>
      <c r="AC848" s="60">
        <v>137</v>
      </c>
      <c r="AD848" s="61"/>
      <c r="AE848" s="62"/>
      <c r="AF848" s="61"/>
      <c r="AG848" s="61"/>
      <c r="AH848" s="75"/>
      <c r="AI848" s="76"/>
      <c r="AJ848" s="92" t="s">
        <v>47</v>
      </c>
      <c r="AK848" s="93" t="s">
        <v>48</v>
      </c>
      <c r="AL848" s="93" t="s">
        <v>65</v>
      </c>
      <c r="AO848" s="69"/>
      <c r="AP848" s="70"/>
      <c r="AQ848" s="85"/>
      <c r="AR848" s="70">
        <v>235</v>
      </c>
      <c r="AS848" s="70">
        <v>23.5</v>
      </c>
      <c r="AT848" s="70"/>
      <c r="AU848" s="72"/>
      <c r="AV848" s="73"/>
      <c r="AW848" s="77"/>
      <c r="AX848" s="58"/>
      <c r="AY848" s="58"/>
    </row>
    <row r="849" ht="17" customHeight="1" spans="2:51">
      <c r="B849" s="59"/>
      <c r="C849" s="60">
        <v>347</v>
      </c>
      <c r="D849" s="61">
        <v>43</v>
      </c>
      <c r="E849" s="62"/>
      <c r="F849" s="61"/>
      <c r="G849" s="61"/>
      <c r="H849" s="75"/>
      <c r="I849" s="76"/>
      <c r="J849" s="77"/>
      <c r="K849" s="82" t="s">
        <v>37</v>
      </c>
      <c r="L849" s="83">
        <f>L844/8</f>
        <v>84.30625</v>
      </c>
      <c r="O849" s="59"/>
      <c r="P849" s="60">
        <v>355</v>
      </c>
      <c r="Q849" s="61">
        <v>35</v>
      </c>
      <c r="R849" s="62"/>
      <c r="S849" s="61"/>
      <c r="T849" s="61"/>
      <c r="U849" s="75"/>
      <c r="V849" s="76"/>
      <c r="W849" s="58"/>
      <c r="X849" s="58"/>
      <c r="Y849" s="58"/>
      <c r="AB849" s="69"/>
      <c r="AC849" s="70"/>
      <c r="AD849" s="71"/>
      <c r="AE849" s="70">
        <v>390</v>
      </c>
      <c r="AF849" s="70">
        <v>78</v>
      </c>
      <c r="AG849" s="70"/>
      <c r="AH849" s="72"/>
      <c r="AI849" s="73"/>
      <c r="AJ849" s="94" t="s">
        <v>52</v>
      </c>
      <c r="AK849" s="95" t="s">
        <v>27</v>
      </c>
      <c r="AL849" s="95" t="s">
        <v>43</v>
      </c>
      <c r="AO849" s="59"/>
      <c r="AP849" s="60"/>
      <c r="AQ849" s="61"/>
      <c r="AR849" s="62">
        <v>413</v>
      </c>
      <c r="AS849" s="61">
        <v>61.95</v>
      </c>
      <c r="AT849" s="61"/>
      <c r="AU849" s="75"/>
      <c r="AV849" s="84"/>
      <c r="AW849" s="77"/>
      <c r="AX849" s="58"/>
      <c r="AY849" s="58"/>
    </row>
    <row r="850" spans="2:51">
      <c r="B850" s="69"/>
      <c r="C850" s="70">
        <v>352</v>
      </c>
      <c r="D850" s="85"/>
      <c r="E850" s="85"/>
      <c r="F850" s="70"/>
      <c r="G850" s="70"/>
      <c r="H850" s="72"/>
      <c r="I850" s="73"/>
      <c r="J850" s="86"/>
      <c r="K850" s="77"/>
      <c r="L850" s="87"/>
      <c r="O850" s="69"/>
      <c r="P850" s="70">
        <v>493</v>
      </c>
      <c r="Q850" s="71">
        <v>27</v>
      </c>
      <c r="R850" s="70"/>
      <c r="S850" s="70"/>
      <c r="T850" s="70"/>
      <c r="U850" s="72"/>
      <c r="V850" s="73"/>
      <c r="W850" s="58"/>
      <c r="X850" s="58"/>
      <c r="Y850" s="58"/>
      <c r="AB850" s="59"/>
      <c r="AC850" s="60"/>
      <c r="AD850" s="61"/>
      <c r="AE850" s="62"/>
      <c r="AF850" s="61"/>
      <c r="AG850" s="61"/>
      <c r="AH850" s="75"/>
      <c r="AI850" s="76"/>
      <c r="AJ850" s="77"/>
      <c r="AK850" s="77"/>
      <c r="AL850" s="87"/>
      <c r="AO850" s="69"/>
      <c r="AP850" s="70"/>
      <c r="AQ850" s="85"/>
      <c r="AR850" s="70">
        <v>208</v>
      </c>
      <c r="AS850" s="70">
        <v>20.8</v>
      </c>
      <c r="AT850" s="70"/>
      <c r="AU850" s="72"/>
      <c r="AV850" s="73"/>
      <c r="AW850" s="89" t="s">
        <v>44</v>
      </c>
      <c r="AX850" s="90" t="s">
        <v>45</v>
      </c>
      <c r="AY850" s="90" t="s">
        <v>46</v>
      </c>
    </row>
    <row r="851" spans="2:51">
      <c r="B851" s="59"/>
      <c r="C851" s="60"/>
      <c r="D851" s="61"/>
      <c r="E851" s="62">
        <v>384</v>
      </c>
      <c r="F851" s="61">
        <v>38.4</v>
      </c>
      <c r="G851" s="61"/>
      <c r="H851" s="75"/>
      <c r="I851" s="76"/>
      <c r="J851" s="77"/>
      <c r="K851" s="58"/>
      <c r="L851" s="58"/>
      <c r="O851" s="59"/>
      <c r="P851" s="60"/>
      <c r="Q851" s="61"/>
      <c r="R851" s="62">
        <v>488</v>
      </c>
      <c r="S851" s="61">
        <v>48.8</v>
      </c>
      <c r="T851" s="61"/>
      <c r="U851" s="75"/>
      <c r="V851" s="76"/>
      <c r="W851" s="58"/>
      <c r="X851" s="58"/>
      <c r="Y851" s="58"/>
      <c r="AB851" s="69"/>
      <c r="AC851" s="70"/>
      <c r="AD851" s="71"/>
      <c r="AE851" s="70"/>
      <c r="AF851" s="70"/>
      <c r="AG851" s="70"/>
      <c r="AH851" s="72"/>
      <c r="AI851" s="73"/>
      <c r="AJ851" s="58"/>
      <c r="AK851" s="58"/>
      <c r="AL851" s="58"/>
      <c r="AO851" s="59"/>
      <c r="AP851" s="60"/>
      <c r="AQ851" s="61"/>
      <c r="AR851" s="62"/>
      <c r="AS851" s="61"/>
      <c r="AT851" s="61"/>
      <c r="AU851" s="75"/>
      <c r="AV851" s="84"/>
      <c r="AW851" s="92" t="s">
        <v>47</v>
      </c>
      <c r="AX851" s="93" t="s">
        <v>27</v>
      </c>
      <c r="AY851" s="93" t="s">
        <v>66</v>
      </c>
    </row>
    <row r="852" spans="2:51">
      <c r="B852" s="69"/>
      <c r="C852" s="97"/>
      <c r="D852" s="71"/>
      <c r="E852" s="70">
        <v>345</v>
      </c>
      <c r="F852" s="70">
        <v>34.5</v>
      </c>
      <c r="G852" s="70"/>
      <c r="H852" s="72"/>
      <c r="I852" s="73"/>
      <c r="J852" s="77"/>
      <c r="K852" s="58"/>
      <c r="L852" s="58"/>
      <c r="O852" s="69"/>
      <c r="P852" s="70">
        <v>137</v>
      </c>
      <c r="Q852" s="71">
        <v>23</v>
      </c>
      <c r="R852" s="70"/>
      <c r="S852" s="70"/>
      <c r="T852" s="70"/>
      <c r="U852" s="72"/>
      <c r="V852" s="73"/>
      <c r="W852" s="58"/>
      <c r="X852" s="58"/>
      <c r="Y852" s="58"/>
      <c r="AB852" s="59"/>
      <c r="AC852" s="60"/>
      <c r="AD852" s="61"/>
      <c r="AE852" s="62"/>
      <c r="AF852" s="61"/>
      <c r="AG852" s="61"/>
      <c r="AH852" s="75"/>
      <c r="AI852" s="76"/>
      <c r="AJ852" s="58"/>
      <c r="AK852" s="58"/>
      <c r="AL852" s="58"/>
      <c r="AO852" s="69"/>
      <c r="AP852" s="70"/>
      <c r="AQ852" s="85"/>
      <c r="AR852" s="70"/>
      <c r="AS852" s="70"/>
      <c r="AT852" s="70"/>
      <c r="AU852" s="72"/>
      <c r="AV852" s="73"/>
      <c r="AW852" s="94" t="s">
        <v>52</v>
      </c>
      <c r="AX852" s="95" t="s">
        <v>48</v>
      </c>
      <c r="AY852" s="95" t="s">
        <v>65</v>
      </c>
    </row>
    <row r="853" spans="2:51">
      <c r="B853" s="59"/>
      <c r="C853" s="60">
        <v>465</v>
      </c>
      <c r="D853" s="88">
        <v>35</v>
      </c>
      <c r="E853" s="62"/>
      <c r="F853" s="61"/>
      <c r="G853" s="61"/>
      <c r="H853" s="75"/>
      <c r="I853" s="76"/>
      <c r="J853" s="77"/>
      <c r="K853" s="58"/>
      <c r="L853" s="58"/>
      <c r="O853" s="127"/>
      <c r="P853" s="129"/>
      <c r="Q853" s="134"/>
      <c r="R853" s="129">
        <v>350</v>
      </c>
      <c r="S853" s="129">
        <v>35</v>
      </c>
      <c r="T853" s="129"/>
      <c r="U853" s="135"/>
      <c r="V853" s="136"/>
      <c r="W853" s="58"/>
      <c r="AB853" s="59"/>
      <c r="AC853" s="60"/>
      <c r="AD853" s="61"/>
      <c r="AE853" s="62"/>
      <c r="AF853" s="61"/>
      <c r="AG853" s="61"/>
      <c r="AH853" s="75"/>
      <c r="AI853" s="76"/>
      <c r="AO853" s="59"/>
      <c r="AP853" s="60"/>
      <c r="AQ853" s="61"/>
      <c r="AR853" s="62"/>
      <c r="AS853" s="61"/>
      <c r="AT853" s="61"/>
      <c r="AU853" s="75"/>
      <c r="AV853" s="84"/>
      <c r="AW853" s="77"/>
      <c r="AX853" s="77"/>
      <c r="AY853" s="87"/>
    </row>
    <row r="854" spans="2:51">
      <c r="B854" s="69"/>
      <c r="C854" s="70"/>
      <c r="D854" s="71"/>
      <c r="E854" s="70">
        <v>443</v>
      </c>
      <c r="F854" s="70">
        <v>44.3</v>
      </c>
      <c r="G854" s="70"/>
      <c r="H854" s="72"/>
      <c r="I854" s="73"/>
      <c r="J854" s="89" t="s">
        <v>44</v>
      </c>
      <c r="K854" s="90" t="s">
        <v>45</v>
      </c>
      <c r="L854" s="90" t="s">
        <v>46</v>
      </c>
      <c r="O854" s="69"/>
      <c r="P854" s="71"/>
      <c r="Q854" s="71"/>
      <c r="R854" s="70">
        <v>782</v>
      </c>
      <c r="S854" s="70">
        <v>88</v>
      </c>
      <c r="T854" s="70"/>
      <c r="U854" s="72"/>
      <c r="V854" s="73"/>
      <c r="W854" s="58"/>
      <c r="AB854" s="96"/>
      <c r="AC854" s="97"/>
      <c r="AD854" s="98"/>
      <c r="AE854" s="99"/>
      <c r="AF854" s="98"/>
      <c r="AG854" s="98"/>
      <c r="AH854" s="72"/>
      <c r="AI854" s="73"/>
      <c r="AO854" s="96"/>
      <c r="AP854" s="97"/>
      <c r="AQ854" s="98"/>
      <c r="AR854" s="99"/>
      <c r="AS854" s="98"/>
      <c r="AT854" s="98"/>
      <c r="AU854" s="72"/>
      <c r="AV854" s="73"/>
    </row>
    <row r="855" spans="2:51">
      <c r="B855" s="59"/>
      <c r="C855" s="60">
        <v>718</v>
      </c>
      <c r="D855" s="61">
        <v>78</v>
      </c>
      <c r="E855" s="62"/>
      <c r="F855" s="61"/>
      <c r="G855" s="61"/>
      <c r="H855" s="75"/>
      <c r="I855" s="76"/>
      <c r="J855" s="92" t="s">
        <v>47</v>
      </c>
      <c r="K855" s="93" t="s">
        <v>48</v>
      </c>
      <c r="L855" s="93" t="s">
        <v>43</v>
      </c>
      <c r="O855" s="59"/>
      <c r="P855" s="61"/>
      <c r="Q855" s="61"/>
      <c r="R855" s="62"/>
      <c r="S855" s="61"/>
      <c r="T855" s="61"/>
      <c r="U855" s="75"/>
      <c r="V855" s="76"/>
      <c r="W855" s="58"/>
      <c r="AB855" s="59"/>
      <c r="AC855" s="60"/>
      <c r="AD855" s="61"/>
      <c r="AE855" s="62"/>
      <c r="AF855" s="61"/>
      <c r="AG855" s="61"/>
      <c r="AH855" s="75"/>
      <c r="AI855" s="76"/>
      <c r="AO855" s="59"/>
      <c r="AP855" s="60"/>
      <c r="AQ855" s="61"/>
      <c r="AR855" s="62"/>
      <c r="AS855" s="61"/>
      <c r="AT855" s="61"/>
      <c r="AU855" s="75"/>
      <c r="AV855" s="76"/>
    </row>
    <row r="856" ht="15.75" spans="2:51">
      <c r="B856" s="69"/>
      <c r="C856" s="70"/>
      <c r="D856" s="71"/>
      <c r="E856" s="70">
        <v>153</v>
      </c>
      <c r="F856" s="70">
        <v>7.65</v>
      </c>
      <c r="G856" s="70"/>
      <c r="H856" s="72"/>
      <c r="I856" s="73"/>
      <c r="J856" s="94" t="s">
        <v>52</v>
      </c>
      <c r="K856" s="95" t="s">
        <v>27</v>
      </c>
      <c r="L856" s="95" t="s">
        <v>65</v>
      </c>
      <c r="O856" s="69"/>
      <c r="P856" s="112"/>
      <c r="Q856" s="71"/>
      <c r="R856" s="58"/>
      <c r="S856" s="70"/>
      <c r="T856" s="70"/>
      <c r="U856" s="72"/>
      <c r="V856" s="73"/>
      <c r="AB856" s="96"/>
      <c r="AC856" s="97"/>
      <c r="AD856" s="98"/>
      <c r="AE856" s="99"/>
      <c r="AF856" s="98"/>
      <c r="AG856" s="98"/>
      <c r="AH856" s="72"/>
      <c r="AI856" s="73"/>
      <c r="AO856" s="96"/>
      <c r="AP856" s="97"/>
      <c r="AQ856" s="98"/>
      <c r="AR856" s="99"/>
      <c r="AS856" s="98"/>
      <c r="AT856" s="98"/>
      <c r="AU856" s="72"/>
      <c r="AV856" s="73"/>
    </row>
    <row r="857" ht="15.75" spans="2:51">
      <c r="B857" s="59"/>
      <c r="C857" s="60"/>
      <c r="D857" s="61"/>
      <c r="E857" s="62">
        <v>339</v>
      </c>
      <c r="F857" s="61">
        <v>33.9</v>
      </c>
      <c r="G857" s="61"/>
      <c r="H857" s="75"/>
      <c r="I857" s="76"/>
      <c r="J857" s="77"/>
      <c r="K857" s="77"/>
      <c r="L857" s="87"/>
      <c r="O857" s="59"/>
      <c r="P857" s="60"/>
      <c r="Q857" s="61"/>
      <c r="R857" s="62"/>
      <c r="S857" s="61"/>
      <c r="T857" s="61"/>
      <c r="U857" s="75"/>
      <c r="V857" s="76"/>
      <c r="AB857" s="102">
        <f t="shared" ref="AB857:AG857" si="140">SUM(AB838:AB856)</f>
        <v>578</v>
      </c>
      <c r="AC857" s="103">
        <f t="shared" si="140"/>
        <v>434</v>
      </c>
      <c r="AD857" s="104">
        <f t="shared" si="140"/>
        <v>26</v>
      </c>
      <c r="AE857" s="105">
        <f t="shared" si="140"/>
        <v>2693</v>
      </c>
      <c r="AF857" s="106">
        <f t="shared" si="140"/>
        <v>355.35</v>
      </c>
      <c r="AG857" s="107">
        <f t="shared" si="140"/>
        <v>665</v>
      </c>
      <c r="AH857" s="108" t="s">
        <v>54</v>
      </c>
      <c r="AI857" s="109"/>
      <c r="AO857" s="59"/>
      <c r="AP857" s="60"/>
      <c r="AQ857" s="61"/>
      <c r="AR857" s="62"/>
      <c r="AS857" s="61"/>
      <c r="AT857" s="61"/>
      <c r="AU857" s="75"/>
      <c r="AV857" s="76"/>
    </row>
    <row r="858" ht="19" customHeight="1" spans="2:51">
      <c r="B858" s="69"/>
      <c r="C858" s="70"/>
      <c r="D858" s="71"/>
      <c r="E858" s="70">
        <v>163</v>
      </c>
      <c r="F858" s="70">
        <v>16.3</v>
      </c>
      <c r="G858" s="70"/>
      <c r="H858" s="72"/>
      <c r="I858" s="73"/>
      <c r="J858" s="58"/>
      <c r="K858" s="58"/>
      <c r="L858" s="58"/>
      <c r="O858" s="96"/>
      <c r="P858" s="97"/>
      <c r="Q858" s="98"/>
      <c r="R858" s="99"/>
      <c r="S858" s="98"/>
      <c r="T858" s="98"/>
      <c r="U858" s="72"/>
      <c r="V858" s="73"/>
      <c r="AO858" s="96"/>
      <c r="AP858" s="97"/>
      <c r="AQ858" s="98"/>
      <c r="AR858" s="99"/>
      <c r="AS858" s="98"/>
      <c r="AT858" s="98"/>
      <c r="AU858" s="72"/>
      <c r="AV858" s="73"/>
    </row>
    <row r="859" ht="15.75" spans="2:51">
      <c r="B859" s="59"/>
      <c r="C859" s="60"/>
      <c r="D859" s="61">
        <v>15</v>
      </c>
      <c r="E859" s="62">
        <v>235</v>
      </c>
      <c r="F859" s="61"/>
      <c r="G859" s="61"/>
      <c r="H859" s="75"/>
      <c r="I859" s="76"/>
      <c r="J859" s="58"/>
      <c r="K859" s="58"/>
      <c r="L859" s="58"/>
      <c r="O859" s="59"/>
      <c r="P859" s="60"/>
      <c r="Q859" s="61"/>
      <c r="R859" s="62"/>
      <c r="S859" s="61"/>
      <c r="T859" s="61"/>
      <c r="U859" s="75"/>
      <c r="V859" s="76"/>
      <c r="AO859" s="59"/>
      <c r="AP859" s="60"/>
      <c r="AQ859" s="61"/>
      <c r="AR859" s="62"/>
      <c r="AS859" s="61"/>
      <c r="AT859" s="61"/>
      <c r="AU859" s="75"/>
      <c r="AV859" s="76"/>
    </row>
    <row r="860" ht="15.75" spans="2:51">
      <c r="B860" s="69"/>
      <c r="C860" s="71">
        <v>45</v>
      </c>
      <c r="D860" s="71"/>
      <c r="E860" s="70"/>
      <c r="F860" s="70"/>
      <c r="G860" s="70"/>
      <c r="H860" s="72"/>
      <c r="I860" s="73"/>
      <c r="J860" s="58"/>
      <c r="K860" s="58"/>
      <c r="L860" s="58"/>
      <c r="O860" s="102">
        <f t="shared" ref="O860:T860" si="141">SUM(O833:O859)</f>
        <v>660</v>
      </c>
      <c r="P860" s="103">
        <f t="shared" si="141"/>
        <v>3305</v>
      </c>
      <c r="Q860" s="104">
        <f t="shared" si="141"/>
        <v>278</v>
      </c>
      <c r="R860" s="105">
        <f t="shared" si="141"/>
        <v>6017</v>
      </c>
      <c r="S860" s="106">
        <f t="shared" si="141"/>
        <v>617.55</v>
      </c>
      <c r="T860" s="107">
        <f t="shared" si="141"/>
        <v>226</v>
      </c>
      <c r="U860" s="108" t="s">
        <v>54</v>
      </c>
      <c r="V860" s="109"/>
      <c r="AB860" s="33" t="s">
        <v>373</v>
      </c>
      <c r="AC860" s="34"/>
      <c r="AD860" s="34"/>
      <c r="AE860" s="34"/>
      <c r="AF860" s="34"/>
      <c r="AG860" s="34"/>
      <c r="AH860" s="34"/>
      <c r="AI860" s="34"/>
      <c r="AJ860" s="34"/>
      <c r="AK860" s="34"/>
      <c r="AL860" s="35"/>
      <c r="AO860" s="96"/>
      <c r="AP860" s="97"/>
      <c r="AQ860" s="98"/>
      <c r="AR860" s="99"/>
      <c r="AS860" s="98"/>
      <c r="AT860" s="98"/>
      <c r="AU860" s="72"/>
      <c r="AV860" s="73"/>
    </row>
    <row r="861" ht="15.75" spans="2:51">
      <c r="B861" s="59"/>
      <c r="C861" s="61">
        <v>435</v>
      </c>
      <c r="D861" s="61">
        <v>65</v>
      </c>
      <c r="E861" s="62"/>
      <c r="F861" s="61"/>
      <c r="G861" s="61"/>
      <c r="H861" s="75"/>
      <c r="I861" s="76"/>
      <c r="J861" s="58"/>
      <c r="K861" s="58"/>
      <c r="L861" s="58"/>
      <c r="AB861" s="36"/>
      <c r="AC861" s="37"/>
      <c r="AD861" s="37"/>
      <c r="AE861" s="37"/>
      <c r="AF861" s="37"/>
      <c r="AG861" s="37"/>
      <c r="AH861" s="37"/>
      <c r="AI861" s="37"/>
      <c r="AJ861" s="37"/>
      <c r="AK861" s="37"/>
      <c r="AL861" s="38"/>
      <c r="AO861" s="102">
        <f t="shared" ref="AO861:AT861" si="142">SUM(AO841:AO860)</f>
        <v>565</v>
      </c>
      <c r="AP861" s="103">
        <f t="shared" si="142"/>
        <v>175</v>
      </c>
      <c r="AQ861" s="104">
        <f t="shared" si="142"/>
        <v>0</v>
      </c>
      <c r="AR861" s="105">
        <f t="shared" si="142"/>
        <v>2812</v>
      </c>
      <c r="AS861" s="106">
        <f t="shared" si="142"/>
        <v>203.45</v>
      </c>
      <c r="AT861" s="107">
        <f t="shared" si="142"/>
        <v>230</v>
      </c>
      <c r="AU861" s="108" t="s">
        <v>54</v>
      </c>
      <c r="AV861" s="109"/>
    </row>
    <row r="862" ht="15.75" spans="2:51">
      <c r="B862" s="69"/>
      <c r="C862" s="70"/>
      <c r="D862" s="71"/>
      <c r="E862" s="70"/>
      <c r="F862" s="70"/>
      <c r="G862" s="70"/>
      <c r="H862" s="72"/>
      <c r="I862" s="73"/>
      <c r="J862" s="58"/>
      <c r="K862" s="58"/>
      <c r="L862" s="58"/>
      <c r="AB862" s="39" t="s">
        <v>12</v>
      </c>
      <c r="AC862" s="40" t="s">
        <v>13</v>
      </c>
      <c r="AD862" s="41"/>
      <c r="AE862" s="42" t="s">
        <v>14</v>
      </c>
      <c r="AF862" s="43"/>
      <c r="AG862" s="44" t="s">
        <v>15</v>
      </c>
      <c r="AH862" s="45"/>
      <c r="AI862" s="46"/>
      <c r="AJ862" s="47" t="s">
        <v>16</v>
      </c>
      <c r="AK862" s="48"/>
      <c r="AL862" s="49">
        <f>AC884+AE884</f>
        <v>7622</v>
      </c>
    </row>
    <row r="863" ht="15.75" spans="2:51">
      <c r="B863" s="59"/>
      <c r="C863" s="60"/>
      <c r="D863" s="61"/>
      <c r="E863" s="62"/>
      <c r="F863" s="61"/>
      <c r="G863" s="61"/>
      <c r="H863" s="75"/>
      <c r="I863" s="76"/>
      <c r="AB863" s="50"/>
      <c r="AC863" s="51" t="s">
        <v>17</v>
      </c>
      <c r="AD863" s="51" t="s">
        <v>18</v>
      </c>
      <c r="AE863" s="52" t="s">
        <v>17</v>
      </c>
      <c r="AF863" s="52" t="s">
        <v>18</v>
      </c>
      <c r="AG863" s="53"/>
      <c r="AH863" s="54"/>
      <c r="AI863" s="55"/>
      <c r="AJ863" s="56" t="s">
        <v>19</v>
      </c>
      <c r="AK863" s="57"/>
      <c r="AL863" s="49">
        <f>AD884+AF884</f>
        <v>795.4</v>
      </c>
    </row>
    <row r="864" ht="15.75" spans="2:51">
      <c r="B864" s="69"/>
      <c r="C864" s="112"/>
      <c r="D864" s="71"/>
      <c r="E864" s="58"/>
      <c r="F864" s="70"/>
      <c r="G864" s="70"/>
      <c r="H864" s="72"/>
      <c r="I864" s="73"/>
      <c r="AB864" s="59">
        <v>373</v>
      </c>
      <c r="AC864" s="68"/>
      <c r="AD864" s="61"/>
      <c r="AE864" s="62">
        <v>158</v>
      </c>
      <c r="AF864" s="61">
        <v>23.7</v>
      </c>
      <c r="AG864" s="61">
        <v>30</v>
      </c>
      <c r="AH864" s="63" t="s">
        <v>29</v>
      </c>
      <c r="AI864" s="64"/>
      <c r="AJ864" s="65" t="s">
        <v>21</v>
      </c>
      <c r="AK864" s="66"/>
      <c r="AL864" s="67">
        <f>AG884</f>
        <v>2544</v>
      </c>
      <c r="AO864" s="33" t="s">
        <v>374</v>
      </c>
      <c r="AP864" s="34"/>
      <c r="AQ864" s="34"/>
      <c r="AR864" s="34"/>
      <c r="AS864" s="34"/>
      <c r="AT864" s="34"/>
      <c r="AU864" s="34"/>
      <c r="AV864" s="34"/>
      <c r="AW864" s="34"/>
      <c r="AX864" s="34"/>
      <c r="AY864" s="35"/>
    </row>
    <row r="865" customHeight="1" spans="2:51">
      <c r="B865" s="59"/>
      <c r="C865" s="60"/>
      <c r="D865" s="61"/>
      <c r="E865" s="62"/>
      <c r="F865" s="61"/>
      <c r="G865" s="61"/>
      <c r="H865" s="75"/>
      <c r="I865" s="76"/>
      <c r="AB865" s="69">
        <v>5</v>
      </c>
      <c r="AC865" s="70"/>
      <c r="AD865" s="71">
        <v>115</v>
      </c>
      <c r="AE865" s="70">
        <v>1044</v>
      </c>
      <c r="AF865" s="70"/>
      <c r="AG865" s="70">
        <v>52</v>
      </c>
      <c r="AH865" s="72" t="s">
        <v>48</v>
      </c>
      <c r="AI865" s="73"/>
      <c r="AJ865" s="74" t="s">
        <v>26</v>
      </c>
      <c r="AK865" s="57"/>
      <c r="AL865" s="49">
        <f>AB884+AL862+AL863-AL864-AE884-AF884</f>
        <v>1368</v>
      </c>
      <c r="AO865" s="36"/>
      <c r="AP865" s="37"/>
      <c r="AQ865" s="37"/>
      <c r="AR865" s="37"/>
      <c r="AS865" s="37"/>
      <c r="AT865" s="37"/>
      <c r="AU865" s="37"/>
      <c r="AV865" s="37"/>
      <c r="AW865" s="37"/>
      <c r="AX865" s="37"/>
      <c r="AY865" s="38"/>
    </row>
    <row r="866" ht="15.75" spans="2:51">
      <c r="B866" s="96"/>
      <c r="C866" s="97"/>
      <c r="D866" s="98"/>
      <c r="E866" s="99"/>
      <c r="F866" s="98"/>
      <c r="G866" s="98"/>
      <c r="H866" s="72"/>
      <c r="I866" s="73"/>
      <c r="AB866" s="59"/>
      <c r="AC866" s="60"/>
      <c r="AD866" s="61"/>
      <c r="AE866" s="62">
        <v>175</v>
      </c>
      <c r="AF866" s="61">
        <v>17.5</v>
      </c>
      <c r="AG866" s="61">
        <v>62</v>
      </c>
      <c r="AH866" s="75" t="s">
        <v>375</v>
      </c>
      <c r="AI866" s="76"/>
      <c r="AJ866" s="77"/>
      <c r="AK866" s="78" t="s">
        <v>30</v>
      </c>
      <c r="AL866" s="79">
        <f>AL863/4</f>
        <v>198.85</v>
      </c>
      <c r="AO866" s="39" t="s">
        <v>12</v>
      </c>
      <c r="AP866" s="40" t="s">
        <v>13</v>
      </c>
      <c r="AQ866" s="41"/>
      <c r="AR866" s="42" t="s">
        <v>14</v>
      </c>
      <c r="AS866" s="43"/>
      <c r="AT866" s="44" t="s">
        <v>15</v>
      </c>
      <c r="AU866" s="45"/>
      <c r="AV866" s="46"/>
      <c r="AW866" s="47" t="s">
        <v>16</v>
      </c>
      <c r="AX866" s="48"/>
      <c r="AY866" s="49">
        <f>AP890+AR890</f>
        <v>3416</v>
      </c>
    </row>
    <row r="867" ht="15.75" spans="2:51">
      <c r="B867" s="59"/>
      <c r="C867" s="60"/>
      <c r="D867" s="61"/>
      <c r="E867" s="62"/>
      <c r="F867" s="61"/>
      <c r="G867" s="61"/>
      <c r="H867" s="75"/>
      <c r="I867" s="76"/>
      <c r="AB867" s="69"/>
      <c r="AC867" s="70"/>
      <c r="AD867" s="71">
        <v>20</v>
      </c>
      <c r="AE867" s="70">
        <v>974</v>
      </c>
      <c r="AF867" s="70"/>
      <c r="AG867" s="70">
        <v>2400</v>
      </c>
      <c r="AH867" s="72" t="s">
        <v>50</v>
      </c>
      <c r="AI867" s="73"/>
      <c r="AJ867" s="77"/>
      <c r="AK867" s="80" t="s">
        <v>34</v>
      </c>
      <c r="AL867" s="81">
        <f>AL863/6</f>
        <v>132.566666666667</v>
      </c>
      <c r="AO867" s="50"/>
      <c r="AP867" s="51" t="s">
        <v>17</v>
      </c>
      <c r="AQ867" s="51" t="s">
        <v>18</v>
      </c>
      <c r="AR867" s="52" t="s">
        <v>17</v>
      </c>
      <c r="AS867" s="52" t="s">
        <v>18</v>
      </c>
      <c r="AT867" s="53"/>
      <c r="AU867" s="54"/>
      <c r="AV867" s="55"/>
      <c r="AW867" s="56" t="s">
        <v>19</v>
      </c>
      <c r="AX867" s="57"/>
      <c r="AY867" s="49">
        <f>AQ890+AS890</f>
        <v>134.6</v>
      </c>
    </row>
    <row r="868" ht="15.75" spans="2:51">
      <c r="B868" s="59"/>
      <c r="C868" s="60"/>
      <c r="D868" s="61"/>
      <c r="E868" s="62"/>
      <c r="F868" s="61"/>
      <c r="G868" s="61"/>
      <c r="H868" s="75"/>
      <c r="I868" s="76"/>
      <c r="AB868" s="59"/>
      <c r="AC868" s="60">
        <v>137</v>
      </c>
      <c r="AD868" s="61"/>
      <c r="AE868" s="62"/>
      <c r="AF868" s="61"/>
      <c r="AG868" s="61"/>
      <c r="AH868" s="75"/>
      <c r="AI868" s="84"/>
      <c r="AJ868" s="77"/>
      <c r="AK868" s="82" t="s">
        <v>37</v>
      </c>
      <c r="AL868" s="83">
        <f>AL863/8</f>
        <v>99.425</v>
      </c>
      <c r="AO868" s="59">
        <v>485</v>
      </c>
      <c r="AP868" s="68"/>
      <c r="AQ868" s="61">
        <v>20</v>
      </c>
      <c r="AR868" s="62">
        <v>465</v>
      </c>
      <c r="AS868" s="61"/>
      <c r="AT868" s="61">
        <v>25</v>
      </c>
      <c r="AU868" s="63" t="s">
        <v>29</v>
      </c>
      <c r="AV868" s="64"/>
      <c r="AW868" s="65" t="s">
        <v>21</v>
      </c>
      <c r="AX868" s="66"/>
      <c r="AY868" s="67">
        <f>AT890</f>
        <v>470</v>
      </c>
    </row>
    <row r="869" ht="15.75" spans="2:51">
      <c r="B869" s="69"/>
      <c r="C869" s="112"/>
      <c r="D869" s="71"/>
      <c r="E869" s="58"/>
      <c r="F869" s="70"/>
      <c r="G869" s="70"/>
      <c r="H869" s="72"/>
      <c r="I869" s="73"/>
      <c r="AB869" s="69"/>
      <c r="AC869" s="70">
        <v>235</v>
      </c>
      <c r="AD869" s="85">
        <v>30</v>
      </c>
      <c r="AE869" s="70"/>
      <c r="AF869" s="70"/>
      <c r="AG869" s="70"/>
      <c r="AH869" s="72"/>
      <c r="AI869" s="73"/>
      <c r="AJ869" s="86"/>
      <c r="AK869" s="77"/>
      <c r="AL869" s="87"/>
      <c r="AO869" s="69"/>
      <c r="AP869" s="70"/>
      <c r="AQ869" s="71"/>
      <c r="AR869" s="70">
        <v>582</v>
      </c>
      <c r="AS869" s="70">
        <v>58.2</v>
      </c>
      <c r="AT869" s="70">
        <v>445</v>
      </c>
      <c r="AU869" s="72" t="s">
        <v>59</v>
      </c>
      <c r="AV869" s="73"/>
      <c r="AW869" s="74" t="s">
        <v>26</v>
      </c>
      <c r="AX869" s="57"/>
      <c r="AY869" s="49">
        <f>AO890+AY866+AY867-AY868-AR890-AS890</f>
        <v>764</v>
      </c>
    </row>
    <row r="870" ht="15.75" spans="2:51">
      <c r="B870" s="102">
        <f t="shared" ref="B870:G870" si="143">SUM(B845:B869)</f>
        <v>2860</v>
      </c>
      <c r="C870" s="103">
        <f t="shared" si="143"/>
        <v>4562</v>
      </c>
      <c r="D870" s="104">
        <f t="shared" si="143"/>
        <v>486</v>
      </c>
      <c r="E870" s="105">
        <f t="shared" si="143"/>
        <v>2330</v>
      </c>
      <c r="F870" s="106">
        <f t="shared" si="143"/>
        <v>188.45</v>
      </c>
      <c r="G870" s="107">
        <f t="shared" si="143"/>
        <v>4620</v>
      </c>
      <c r="H870" s="108" t="s">
        <v>54</v>
      </c>
      <c r="I870" s="109"/>
      <c r="AB870" s="59"/>
      <c r="AC870" s="60"/>
      <c r="AD870" s="61"/>
      <c r="AE870" s="62">
        <v>592</v>
      </c>
      <c r="AF870" s="61">
        <v>59.2</v>
      </c>
      <c r="AG870" s="61"/>
      <c r="AH870" s="75"/>
      <c r="AI870" s="84"/>
      <c r="AJ870" s="77"/>
      <c r="AK870" s="58"/>
      <c r="AL870" s="58"/>
      <c r="AO870" s="59"/>
      <c r="AP870" s="60"/>
      <c r="AQ870" s="61"/>
      <c r="AR870" s="62">
        <v>330</v>
      </c>
      <c r="AS870" s="61"/>
      <c r="AT870" s="61"/>
      <c r="AU870" s="75"/>
      <c r="AV870" s="76"/>
      <c r="AW870" s="77"/>
      <c r="AX870" s="78" t="s">
        <v>30</v>
      </c>
      <c r="AY870" s="79">
        <f>AY867/4</f>
        <v>33.65</v>
      </c>
    </row>
    <row r="871" ht="15.75" spans="2:51">
      <c r="AB871" s="69"/>
      <c r="AC871" s="70">
        <v>223</v>
      </c>
      <c r="AD871" s="85">
        <v>50</v>
      </c>
      <c r="AE871" s="70"/>
      <c r="AF871" s="70"/>
      <c r="AG871" s="70"/>
      <c r="AH871" s="72"/>
      <c r="AI871" s="73"/>
      <c r="AJ871" s="77"/>
      <c r="AK871" s="58"/>
      <c r="AL871" s="58"/>
      <c r="AO871" s="69"/>
      <c r="AP871" s="70"/>
      <c r="AQ871" s="71"/>
      <c r="AR871" s="70">
        <v>448</v>
      </c>
      <c r="AS871" s="70">
        <v>22.4</v>
      </c>
      <c r="AT871" s="70"/>
      <c r="AU871" s="72"/>
      <c r="AV871" s="73"/>
      <c r="AW871" s="77"/>
      <c r="AX871" s="80" t="s">
        <v>34</v>
      </c>
      <c r="AY871" s="81">
        <f>AY867/6</f>
        <v>22.4333333333333</v>
      </c>
    </row>
    <row r="872" spans="2:51">
      <c r="B872" s="33" t="s">
        <v>376</v>
      </c>
      <c r="C872" s="34"/>
      <c r="D872" s="34"/>
      <c r="E872" s="34"/>
      <c r="F872" s="34"/>
      <c r="G872" s="34"/>
      <c r="H872" s="34"/>
      <c r="I872" s="34"/>
      <c r="J872" s="34"/>
      <c r="K872" s="34"/>
      <c r="L872" s="35"/>
      <c r="AB872" s="59"/>
      <c r="AC872" s="60">
        <v>517</v>
      </c>
      <c r="AD872" s="61">
        <v>63</v>
      </c>
      <c r="AE872" s="62"/>
      <c r="AF872" s="61"/>
      <c r="AG872" s="61"/>
      <c r="AH872" s="75"/>
      <c r="AI872" s="84"/>
      <c r="AJ872" s="77"/>
      <c r="AK872" s="58"/>
      <c r="AL872" s="58"/>
      <c r="AO872" s="59"/>
      <c r="AP872" s="60">
        <v>278</v>
      </c>
      <c r="AQ872" s="61"/>
      <c r="AR872" s="62"/>
      <c r="AS872" s="61"/>
      <c r="AT872" s="61"/>
      <c r="AU872" s="75"/>
      <c r="AV872" s="84"/>
      <c r="AW872" s="77"/>
      <c r="AX872" s="82" t="s">
        <v>37</v>
      </c>
      <c r="AY872" s="83">
        <f>AY867/8</f>
        <v>16.825</v>
      </c>
    </row>
    <row r="873" ht="15.75" spans="2:51">
      <c r="B873" s="36"/>
      <c r="C873" s="37"/>
      <c r="D873" s="37"/>
      <c r="E873" s="37"/>
      <c r="F873" s="37"/>
      <c r="G873" s="37"/>
      <c r="H873" s="37"/>
      <c r="I873" s="37"/>
      <c r="J873" s="37"/>
      <c r="K873" s="37"/>
      <c r="L873" s="38"/>
      <c r="AB873" s="69"/>
      <c r="AC873" s="70">
        <v>313</v>
      </c>
      <c r="AD873" s="85">
        <v>15</v>
      </c>
      <c r="AE873" s="70"/>
      <c r="AF873" s="70"/>
      <c r="AG873" s="70"/>
      <c r="AH873" s="72"/>
      <c r="AI873" s="73"/>
      <c r="AJ873" s="89" t="s">
        <v>44</v>
      </c>
      <c r="AK873" s="90" t="s">
        <v>45</v>
      </c>
      <c r="AL873" s="90" t="s">
        <v>46</v>
      </c>
      <c r="AO873" s="69"/>
      <c r="AP873" s="70"/>
      <c r="AQ873" s="85"/>
      <c r="AR873" s="70">
        <v>176</v>
      </c>
      <c r="AS873" s="70"/>
      <c r="AT873" s="70"/>
      <c r="AU873" s="72"/>
      <c r="AV873" s="73"/>
      <c r="AW873" s="86"/>
      <c r="AX873" s="77"/>
      <c r="AY873" s="87"/>
    </row>
    <row r="874" ht="15.75" spans="2:51">
      <c r="B874" s="39" t="s">
        <v>12</v>
      </c>
      <c r="C874" s="40" t="s">
        <v>13</v>
      </c>
      <c r="D874" s="41"/>
      <c r="E874" s="42" t="s">
        <v>14</v>
      </c>
      <c r="F874" s="43"/>
      <c r="G874" s="44" t="s">
        <v>15</v>
      </c>
      <c r="H874" s="45"/>
      <c r="I874" s="46"/>
      <c r="J874" s="47" t="s">
        <v>16</v>
      </c>
      <c r="K874" s="48"/>
      <c r="L874" s="49">
        <f>C900+E900</f>
        <v>6171</v>
      </c>
      <c r="AB874" s="59"/>
      <c r="AC874" s="60">
        <v>108</v>
      </c>
      <c r="AD874" s="61">
        <v>0</v>
      </c>
      <c r="AE874" s="62"/>
      <c r="AF874" s="61"/>
      <c r="AG874" s="61"/>
      <c r="AH874" s="75"/>
      <c r="AI874" s="84"/>
      <c r="AJ874" s="92" t="s">
        <v>47</v>
      </c>
      <c r="AK874" s="93" t="s">
        <v>48</v>
      </c>
      <c r="AL874" s="93" t="s">
        <v>65</v>
      </c>
      <c r="AO874" s="59"/>
      <c r="AP874" s="60"/>
      <c r="AQ874" s="61"/>
      <c r="AR874" s="62">
        <v>230</v>
      </c>
      <c r="AS874" s="61"/>
      <c r="AT874" s="61"/>
      <c r="AU874" s="75"/>
      <c r="AV874" s="84"/>
      <c r="AW874" s="77"/>
      <c r="AX874" s="58"/>
      <c r="AY874" s="58"/>
    </row>
    <row r="875" ht="15.75" spans="2:51">
      <c r="B875" s="50"/>
      <c r="C875" s="51" t="s">
        <v>17</v>
      </c>
      <c r="D875" s="51" t="s">
        <v>18</v>
      </c>
      <c r="E875" s="52" t="s">
        <v>17</v>
      </c>
      <c r="F875" s="52" t="s">
        <v>18</v>
      </c>
      <c r="G875" s="53"/>
      <c r="H875" s="54"/>
      <c r="I875" s="55"/>
      <c r="J875" s="56" t="s">
        <v>19</v>
      </c>
      <c r="K875" s="57"/>
      <c r="L875" s="49">
        <f>D900+F900</f>
        <v>482.6</v>
      </c>
      <c r="AB875" s="69"/>
      <c r="AC875" s="70"/>
      <c r="AD875" s="85"/>
      <c r="AE875" s="70">
        <v>270</v>
      </c>
      <c r="AF875" s="70">
        <v>27</v>
      </c>
      <c r="AG875" s="70"/>
      <c r="AH875" s="72"/>
      <c r="AI875" s="73"/>
      <c r="AJ875" s="94" t="s">
        <v>52</v>
      </c>
      <c r="AK875" s="95" t="s">
        <v>27</v>
      </c>
      <c r="AL875" s="95" t="s">
        <v>43</v>
      </c>
      <c r="AO875" s="69"/>
      <c r="AP875" s="70">
        <v>127</v>
      </c>
      <c r="AQ875" s="85">
        <v>13</v>
      </c>
      <c r="AR875" s="70"/>
      <c r="AS875" s="70"/>
      <c r="AT875" s="70"/>
      <c r="AU875" s="72"/>
      <c r="AV875" s="73"/>
      <c r="AW875" s="77"/>
      <c r="AX875" s="58"/>
      <c r="AY875" s="58"/>
    </row>
    <row r="876" ht="15.75" spans="2:51">
      <c r="B876" s="59">
        <v>593</v>
      </c>
      <c r="C876" s="60">
        <v>328</v>
      </c>
      <c r="D876" s="61"/>
      <c r="E876" s="62"/>
      <c r="F876" s="61"/>
      <c r="G876" s="61">
        <v>300</v>
      </c>
      <c r="H876" s="63" t="s">
        <v>307</v>
      </c>
      <c r="I876" s="64"/>
      <c r="J876" s="65" t="s">
        <v>21</v>
      </c>
      <c r="K876" s="66"/>
      <c r="L876" s="67">
        <f>G900</f>
        <v>679</v>
      </c>
      <c r="AB876" s="59"/>
      <c r="AC876" s="60"/>
      <c r="AD876" s="61"/>
      <c r="AE876" s="62">
        <v>450</v>
      </c>
      <c r="AF876" s="61">
        <v>45</v>
      </c>
      <c r="AG876" s="61"/>
      <c r="AH876" s="75"/>
      <c r="AI876" s="84"/>
      <c r="AJ876" s="77"/>
      <c r="AK876" s="77"/>
      <c r="AL876" s="87"/>
      <c r="AO876" s="59"/>
      <c r="AP876" s="60">
        <v>235</v>
      </c>
      <c r="AQ876" s="61">
        <v>21</v>
      </c>
      <c r="AR876" s="62"/>
      <c r="AS876" s="61"/>
      <c r="AT876" s="61"/>
      <c r="AU876" s="75"/>
      <c r="AV876" s="84"/>
      <c r="AW876" s="77"/>
      <c r="AX876" s="58"/>
      <c r="AY876" s="58"/>
    </row>
    <row r="877" ht="15.75" spans="2:51">
      <c r="B877" s="69">
        <v>41</v>
      </c>
      <c r="C877" s="70">
        <v>300</v>
      </c>
      <c r="D877" s="71">
        <v>20</v>
      </c>
      <c r="E877" s="70"/>
      <c r="F877" s="70"/>
      <c r="G877" s="70">
        <v>30</v>
      </c>
      <c r="H877" s="72" t="s">
        <v>29</v>
      </c>
      <c r="I877" s="73"/>
      <c r="J877" s="74" t="s">
        <v>26</v>
      </c>
      <c r="K877" s="57"/>
      <c r="L877" s="49">
        <f>B900+L874+L875-L876-E900-F900</f>
        <v>6118</v>
      </c>
      <c r="AB877" s="69"/>
      <c r="AC877" s="70">
        <v>433</v>
      </c>
      <c r="AD877" s="85">
        <v>45</v>
      </c>
      <c r="AE877" s="70"/>
      <c r="AF877" s="70"/>
      <c r="AG877" s="70"/>
      <c r="AH877" s="72"/>
      <c r="AI877" s="73"/>
      <c r="AJ877" s="58"/>
      <c r="AK877" s="58"/>
      <c r="AL877" s="58"/>
      <c r="AO877" s="69"/>
      <c r="AP877" s="70">
        <v>55</v>
      </c>
      <c r="AQ877" s="85"/>
      <c r="AR877" s="70"/>
      <c r="AS877" s="70"/>
      <c r="AT877" s="70"/>
      <c r="AU877" s="72"/>
      <c r="AV877" s="73"/>
      <c r="AW877" s="89" t="s">
        <v>44</v>
      </c>
      <c r="AX877" s="90" t="s">
        <v>45</v>
      </c>
      <c r="AY877" s="90" t="s">
        <v>46</v>
      </c>
    </row>
    <row r="878" spans="2:51">
      <c r="B878" s="59"/>
      <c r="C878" s="60">
        <v>542</v>
      </c>
      <c r="D878" s="61">
        <v>78</v>
      </c>
      <c r="E878" s="62"/>
      <c r="F878" s="61"/>
      <c r="G878" s="61">
        <v>349</v>
      </c>
      <c r="H878" s="75" t="s">
        <v>149</v>
      </c>
      <c r="I878" s="76"/>
      <c r="J878" s="77"/>
      <c r="K878" s="78" t="s">
        <v>30</v>
      </c>
      <c r="L878" s="79">
        <f>L875/4</f>
        <v>120.65</v>
      </c>
      <c r="AB878" s="59"/>
      <c r="AC878" s="60">
        <v>715</v>
      </c>
      <c r="AD878" s="61">
        <v>105</v>
      </c>
      <c r="AE878" s="62"/>
      <c r="AF878" s="61"/>
      <c r="AG878" s="61"/>
      <c r="AH878" s="75"/>
      <c r="AI878" s="84"/>
      <c r="AJ878" s="58"/>
      <c r="AK878" s="58"/>
      <c r="AL878" s="58"/>
      <c r="AO878" s="59"/>
      <c r="AP878" s="60"/>
      <c r="AQ878" s="61"/>
      <c r="AR878" s="62">
        <v>490</v>
      </c>
      <c r="AS878" s="61"/>
      <c r="AT878" s="61"/>
      <c r="AU878" s="75"/>
      <c r="AV878" s="84"/>
      <c r="AW878" s="92" t="s">
        <v>47</v>
      </c>
      <c r="AX878" s="93" t="s">
        <v>27</v>
      </c>
      <c r="AY878" s="93" t="s">
        <v>66</v>
      </c>
    </row>
    <row r="879" spans="2:51">
      <c r="B879" s="69"/>
      <c r="C879" s="70"/>
      <c r="D879" s="71"/>
      <c r="E879" s="70">
        <v>338</v>
      </c>
      <c r="F879" s="70">
        <v>33.8</v>
      </c>
      <c r="G879" s="70"/>
      <c r="H879" s="72"/>
      <c r="I879" s="73"/>
      <c r="J879" s="77"/>
      <c r="K879" s="80" t="s">
        <v>34</v>
      </c>
      <c r="L879" s="81">
        <f>L875/6</f>
        <v>80.4333333333333</v>
      </c>
      <c r="AB879" s="69"/>
      <c r="AC879" s="70"/>
      <c r="AD879" s="85">
        <v>60</v>
      </c>
      <c r="AE879" s="70">
        <v>585</v>
      </c>
      <c r="AF879" s="70"/>
      <c r="AG879" s="70"/>
      <c r="AH879" s="72"/>
      <c r="AI879" s="73"/>
      <c r="AJ879" s="58"/>
      <c r="AK879" s="58"/>
      <c r="AL879" s="58"/>
      <c r="AO879" s="69"/>
      <c r="AP879" s="70"/>
      <c r="AQ879" s="85"/>
      <c r="AR879" s="70"/>
      <c r="AS879" s="70"/>
      <c r="AT879" s="70"/>
      <c r="AU879" s="72"/>
      <c r="AV879" s="73"/>
      <c r="AW879" s="94" t="s">
        <v>52</v>
      </c>
      <c r="AX879" s="95" t="s">
        <v>48</v>
      </c>
      <c r="AY879" s="95" t="s">
        <v>65</v>
      </c>
    </row>
    <row r="880" ht="14" customHeight="1" spans="2:51">
      <c r="B880" s="59"/>
      <c r="C880" s="60"/>
      <c r="D880" s="61"/>
      <c r="E880" s="62">
        <v>108</v>
      </c>
      <c r="F880" s="61">
        <v>10.8</v>
      </c>
      <c r="G880" s="61"/>
      <c r="H880" s="75"/>
      <c r="I880" s="76"/>
      <c r="J880" s="77"/>
      <c r="K880" s="82" t="s">
        <v>37</v>
      </c>
      <c r="L880" s="83">
        <f>L875/8</f>
        <v>60.325</v>
      </c>
      <c r="AB880" s="59"/>
      <c r="AC880" s="60">
        <v>230</v>
      </c>
      <c r="AD880" s="61">
        <v>50</v>
      </c>
      <c r="AE880" s="62"/>
      <c r="AF880" s="61"/>
      <c r="AG880" s="61"/>
      <c r="AH880" s="75"/>
      <c r="AI880" s="84"/>
      <c r="AJ880" s="58"/>
      <c r="AK880" s="58"/>
      <c r="AL880" s="58"/>
      <c r="AO880" s="59"/>
      <c r="AP880" s="60"/>
      <c r="AQ880" s="61"/>
      <c r="AR880" s="62"/>
      <c r="AS880" s="61"/>
      <c r="AT880" s="61"/>
      <c r="AU880" s="75"/>
      <c r="AV880" s="84"/>
      <c r="AW880" s="77"/>
      <c r="AX880" s="77"/>
      <c r="AY880" s="87"/>
    </row>
    <row r="881" ht="16" customHeight="1" spans="2:51">
      <c r="B881" s="69"/>
      <c r="C881" s="70">
        <v>170</v>
      </c>
      <c r="D881" s="85"/>
      <c r="E881" s="85"/>
      <c r="F881" s="70"/>
      <c r="G881" s="70"/>
      <c r="H881" s="72"/>
      <c r="I881" s="73"/>
      <c r="J881" s="86"/>
      <c r="K881" s="77"/>
      <c r="L881" s="87"/>
      <c r="AB881" s="69"/>
      <c r="AC881" s="70"/>
      <c r="AD881" s="85">
        <v>70</v>
      </c>
      <c r="AE881" s="70">
        <v>463</v>
      </c>
      <c r="AF881" s="70"/>
      <c r="AG881" s="70"/>
      <c r="AH881" s="72"/>
      <c r="AI881" s="73"/>
      <c r="AJ881" s="58"/>
      <c r="AK881" s="58"/>
      <c r="AL881" s="58"/>
      <c r="AO881" s="69"/>
      <c r="AP881" s="70"/>
      <c r="AQ881" s="85"/>
      <c r="AR881" s="70"/>
      <c r="AS881" s="70"/>
      <c r="AT881" s="70"/>
      <c r="AU881" s="72"/>
      <c r="AV881" s="73"/>
      <c r="AW881" s="58"/>
      <c r="AX881" s="58"/>
      <c r="AY881" s="58"/>
    </row>
    <row r="882" spans="2:51">
      <c r="B882" s="59"/>
      <c r="C882" s="60">
        <v>170</v>
      </c>
      <c r="D882" s="61">
        <v>20</v>
      </c>
      <c r="E882" s="62"/>
      <c r="F882" s="61"/>
      <c r="G882" s="61"/>
      <c r="H882" s="75"/>
      <c r="I882" s="76"/>
      <c r="J882" s="77"/>
      <c r="K882" s="58"/>
      <c r="L882" s="58"/>
      <c r="AB882" s="59"/>
      <c r="AC882" s="60"/>
      <c r="AD882" s="61"/>
      <c r="AE882" s="62"/>
      <c r="AF882" s="61"/>
      <c r="AG882" s="61"/>
      <c r="AH882" s="75"/>
      <c r="AI882" s="84"/>
      <c r="AJ882" s="58"/>
      <c r="AK882" s="58"/>
      <c r="AL882" s="58"/>
      <c r="AO882" s="59"/>
      <c r="AP882" s="60"/>
      <c r="AQ882" s="61"/>
      <c r="AR882" s="62"/>
      <c r="AS882" s="61"/>
      <c r="AT882" s="61"/>
      <c r="AU882" s="75"/>
      <c r="AV882" s="76"/>
    </row>
    <row r="883" ht="15.75" spans="2:51">
      <c r="B883" s="69"/>
      <c r="C883" s="97">
        <v>673</v>
      </c>
      <c r="D883" s="71">
        <v>27</v>
      </c>
      <c r="E883" s="70"/>
      <c r="F883" s="70"/>
      <c r="G883" s="70"/>
      <c r="H883" s="72"/>
      <c r="I883" s="73"/>
      <c r="J883" s="77"/>
      <c r="K883" s="58"/>
      <c r="L883" s="58"/>
      <c r="AB883" s="96"/>
      <c r="AC883" s="97"/>
      <c r="AD883" s="98"/>
      <c r="AE883" s="99"/>
      <c r="AF883" s="98"/>
      <c r="AG883" s="98"/>
      <c r="AH883" s="72"/>
      <c r="AI883" s="73"/>
      <c r="AO883" s="96"/>
      <c r="AP883" s="97"/>
      <c r="AQ883" s="98"/>
      <c r="AR883" s="99"/>
      <c r="AS883" s="98"/>
      <c r="AT883" s="98"/>
      <c r="AU883" s="72"/>
      <c r="AV883" s="73"/>
    </row>
    <row r="884" ht="15.75" spans="2:51">
      <c r="B884" s="59"/>
      <c r="C884" s="60">
        <v>372</v>
      </c>
      <c r="D884" s="88">
        <v>50</v>
      </c>
      <c r="E884" s="62"/>
      <c r="F884" s="61"/>
      <c r="G884" s="61"/>
      <c r="H884" s="75"/>
      <c r="I884" s="76"/>
      <c r="J884" s="77"/>
      <c r="K884" s="58"/>
      <c r="L884" s="58"/>
      <c r="AB884" s="102">
        <f t="shared" ref="AB884:AG884" si="144">SUM(AB864:AB883)</f>
        <v>378</v>
      </c>
      <c r="AC884" s="103">
        <f t="shared" si="144"/>
        <v>2911</v>
      </c>
      <c r="AD884" s="104">
        <f t="shared" si="144"/>
        <v>623</v>
      </c>
      <c r="AE884" s="105">
        <f t="shared" si="144"/>
        <v>4711</v>
      </c>
      <c r="AF884" s="106">
        <f t="shared" si="144"/>
        <v>172.4</v>
      </c>
      <c r="AG884" s="107">
        <f t="shared" si="144"/>
        <v>2544</v>
      </c>
      <c r="AH884" s="108" t="s">
        <v>54</v>
      </c>
      <c r="AI884" s="109"/>
      <c r="AO884" s="59"/>
      <c r="AP884" s="60"/>
      <c r="AQ884" s="61"/>
      <c r="AR884" s="62"/>
      <c r="AS884" s="61"/>
      <c r="AT884" s="61"/>
      <c r="AU884" s="75"/>
      <c r="AV884" s="76"/>
    </row>
    <row r="885" spans="2:51">
      <c r="B885" s="69"/>
      <c r="C885" s="70">
        <v>165</v>
      </c>
      <c r="D885" s="71"/>
      <c r="E885" s="70"/>
      <c r="F885" s="70"/>
      <c r="G885" s="70"/>
      <c r="H885" s="72"/>
      <c r="I885" s="73"/>
      <c r="J885" s="89" t="s">
        <v>44</v>
      </c>
      <c r="K885" s="90" t="s">
        <v>45</v>
      </c>
      <c r="L885" s="90" t="s">
        <v>46</v>
      </c>
      <c r="AO885" s="96"/>
      <c r="AP885" s="97"/>
      <c r="AQ885" s="98"/>
      <c r="AR885" s="99"/>
      <c r="AS885" s="98"/>
      <c r="AT885" s="98"/>
      <c r="AU885" s="72"/>
      <c r="AV885" s="73"/>
    </row>
    <row r="886" spans="2:51">
      <c r="B886" s="59"/>
      <c r="C886" s="60">
        <v>225</v>
      </c>
      <c r="D886" s="61">
        <v>22</v>
      </c>
      <c r="E886" s="62"/>
      <c r="F886" s="61"/>
      <c r="G886" s="61"/>
      <c r="H886" s="75"/>
      <c r="I886" s="76"/>
      <c r="J886" s="92" t="s">
        <v>47</v>
      </c>
      <c r="K886" s="93" t="s">
        <v>48</v>
      </c>
      <c r="L886" s="93" t="s">
        <v>43</v>
      </c>
      <c r="AO886" s="59"/>
      <c r="AP886" s="60"/>
      <c r="AQ886" s="61"/>
      <c r="AR886" s="62"/>
      <c r="AS886" s="61"/>
      <c r="AT886" s="61"/>
      <c r="AU886" s="75"/>
      <c r="AV886" s="76"/>
    </row>
    <row r="887" spans="2:51">
      <c r="B887" s="69"/>
      <c r="C887" s="70">
        <v>220</v>
      </c>
      <c r="D887" s="71"/>
      <c r="E887" s="70"/>
      <c r="F887" s="70"/>
      <c r="G887" s="70"/>
      <c r="H887" s="72"/>
      <c r="I887" s="73"/>
      <c r="J887" s="94" t="s">
        <v>52</v>
      </c>
      <c r="K887" s="95" t="s">
        <v>27</v>
      </c>
      <c r="L887" s="95" t="s">
        <v>65</v>
      </c>
      <c r="AO887" s="96"/>
      <c r="AP887" s="97"/>
      <c r="AQ887" s="98"/>
      <c r="AR887" s="99"/>
      <c r="AS887" s="98"/>
      <c r="AT887" s="98"/>
      <c r="AU887" s="72"/>
      <c r="AV887" s="73"/>
    </row>
    <row r="888" spans="2:51">
      <c r="B888" s="59"/>
      <c r="C888" s="60">
        <v>283</v>
      </c>
      <c r="D888" s="61">
        <v>17</v>
      </c>
      <c r="E888" s="62"/>
      <c r="F888" s="61"/>
      <c r="G888" s="61"/>
      <c r="H888" s="75"/>
      <c r="I888" s="76"/>
      <c r="J888" s="77"/>
      <c r="K888" s="77"/>
      <c r="L888" s="87"/>
      <c r="AO888" s="59"/>
      <c r="AP888" s="60"/>
      <c r="AQ888" s="61"/>
      <c r="AR888" s="62"/>
      <c r="AS888" s="61"/>
      <c r="AT888" s="61"/>
      <c r="AU888" s="75"/>
      <c r="AV888" s="76"/>
    </row>
    <row r="889" ht="15.75" spans="2:51">
      <c r="B889" s="69"/>
      <c r="C889" s="70">
        <v>631</v>
      </c>
      <c r="D889" s="71">
        <v>50</v>
      </c>
      <c r="E889" s="70"/>
      <c r="F889" s="70"/>
      <c r="G889" s="70"/>
      <c r="H889" s="72"/>
      <c r="I889" s="73"/>
      <c r="J889" s="58"/>
      <c r="K889" s="58"/>
      <c r="L889" s="58"/>
      <c r="AO889" s="96"/>
      <c r="AP889" s="97"/>
      <c r="AQ889" s="98"/>
      <c r="AR889" s="99"/>
      <c r="AS889" s="98"/>
      <c r="AT889" s="98"/>
      <c r="AU889" s="72"/>
      <c r="AV889" s="73"/>
    </row>
    <row r="890" ht="15.75" spans="2:51">
      <c r="B890" s="59"/>
      <c r="C890" s="60">
        <v>388</v>
      </c>
      <c r="D890" s="61">
        <v>37</v>
      </c>
      <c r="E890" s="62"/>
      <c r="F890" s="61"/>
      <c r="G890" s="61"/>
      <c r="H890" s="75"/>
      <c r="I890" s="76"/>
      <c r="J890" s="58"/>
      <c r="K890" s="58"/>
      <c r="L890" s="58"/>
      <c r="AO890" s="102">
        <f t="shared" ref="AO890:AT890" si="145">SUM(AO868:AO889)</f>
        <v>485</v>
      </c>
      <c r="AP890" s="103">
        <f t="shared" si="145"/>
        <v>695</v>
      </c>
      <c r="AQ890" s="104">
        <f t="shared" si="145"/>
        <v>54</v>
      </c>
      <c r="AR890" s="105">
        <f t="shared" si="145"/>
        <v>2721</v>
      </c>
      <c r="AS890" s="106">
        <f t="shared" si="145"/>
        <v>80.6</v>
      </c>
      <c r="AT890" s="107">
        <f t="shared" si="145"/>
        <v>470</v>
      </c>
      <c r="AU890" s="108" t="s">
        <v>54</v>
      </c>
      <c r="AV890" s="109"/>
    </row>
    <row r="891" spans="2:51">
      <c r="B891" s="69"/>
      <c r="C891" s="71">
        <v>618</v>
      </c>
      <c r="D891" s="71">
        <v>70</v>
      </c>
      <c r="E891" s="70"/>
      <c r="F891" s="70"/>
      <c r="G891" s="70"/>
      <c r="H891" s="72"/>
      <c r="I891" s="73"/>
      <c r="J891" s="58"/>
      <c r="K891" s="58"/>
      <c r="L891" s="58"/>
    </row>
    <row r="892" spans="2:51">
      <c r="B892" s="59"/>
      <c r="C892" s="61">
        <v>22</v>
      </c>
      <c r="D892" s="61"/>
      <c r="E892" s="62"/>
      <c r="F892" s="61"/>
      <c r="G892" s="61"/>
      <c r="H892" s="75"/>
      <c r="I892" s="76"/>
      <c r="J892" s="58"/>
      <c r="K892" s="58"/>
      <c r="L892" s="58"/>
    </row>
    <row r="893" spans="2:51">
      <c r="B893" s="69"/>
      <c r="C893" s="70">
        <v>175</v>
      </c>
      <c r="D893" s="71">
        <v>25</v>
      </c>
      <c r="E893" s="70"/>
      <c r="F893" s="70"/>
      <c r="G893" s="70"/>
      <c r="H893" s="72"/>
      <c r="I893" s="73"/>
      <c r="J893" s="58"/>
      <c r="K893" s="58"/>
      <c r="L893" s="58"/>
    </row>
    <row r="894" ht="19" customHeight="1" spans="2:51">
      <c r="B894" s="59"/>
      <c r="C894" s="60">
        <v>170</v>
      </c>
      <c r="D894" s="61"/>
      <c r="E894" s="62"/>
      <c r="F894" s="61"/>
      <c r="G894" s="61"/>
      <c r="H894" s="75"/>
      <c r="I894" s="76"/>
    </row>
    <row r="895" spans="2:51">
      <c r="B895" s="69"/>
      <c r="C895" s="112">
        <v>165</v>
      </c>
      <c r="D895" s="71">
        <v>10</v>
      </c>
      <c r="E895" s="58"/>
      <c r="F895" s="70"/>
      <c r="G895" s="70"/>
      <c r="H895" s="72"/>
      <c r="I895" s="73"/>
    </row>
    <row r="896" ht="13" customHeight="1" spans="2:51">
      <c r="B896" s="59"/>
      <c r="C896" s="60">
        <v>108</v>
      </c>
      <c r="D896" s="61">
        <v>12</v>
      </c>
      <c r="E896" s="62"/>
      <c r="F896" s="61"/>
      <c r="G896" s="61"/>
      <c r="H896" s="75"/>
      <c r="I896" s="76"/>
    </row>
    <row r="897" spans="2:12">
      <c r="B897" s="96"/>
      <c r="C897" s="97"/>
      <c r="D897" s="98"/>
      <c r="E897" s="99"/>
      <c r="F897" s="98"/>
      <c r="G897" s="98"/>
      <c r="H897" s="72"/>
      <c r="I897" s="73"/>
    </row>
    <row r="898" spans="2:12">
      <c r="B898" s="59"/>
      <c r="C898" s="60"/>
      <c r="D898" s="61"/>
      <c r="E898" s="62"/>
      <c r="F898" s="61"/>
      <c r="G898" s="61"/>
      <c r="H898" s="75"/>
      <c r="I898" s="76"/>
    </row>
    <row r="899" ht="15.75" spans="2:12">
      <c r="B899" s="69"/>
      <c r="C899" s="112"/>
      <c r="D899" s="71"/>
      <c r="E899" s="58"/>
      <c r="F899" s="70"/>
      <c r="G899" s="70"/>
      <c r="H899" s="72"/>
      <c r="I899" s="73"/>
    </row>
    <row r="900" ht="15.75" spans="2:12">
      <c r="B900" s="102">
        <f t="shared" ref="B900:G900" si="146">SUM(B876:B899)</f>
        <v>634</v>
      </c>
      <c r="C900" s="103">
        <f t="shared" si="146"/>
        <v>5725</v>
      </c>
      <c r="D900" s="104">
        <f t="shared" si="146"/>
        <v>438</v>
      </c>
      <c r="E900" s="105">
        <f t="shared" si="146"/>
        <v>446</v>
      </c>
      <c r="F900" s="106">
        <f t="shared" si="146"/>
        <v>44.6</v>
      </c>
      <c r="G900" s="107">
        <f t="shared" si="146"/>
        <v>679</v>
      </c>
      <c r="H900" s="108" t="s">
        <v>54</v>
      </c>
      <c r="I900" s="109"/>
    </row>
    <row r="902" ht="15.75"/>
    <row r="903" spans="2:12">
      <c r="B903" s="33" t="s">
        <v>377</v>
      </c>
      <c r="C903" s="34"/>
      <c r="D903" s="34"/>
      <c r="E903" s="34"/>
      <c r="F903" s="34"/>
      <c r="G903" s="34"/>
      <c r="H903" s="34"/>
      <c r="I903" s="34"/>
      <c r="J903" s="34"/>
      <c r="K903" s="34"/>
      <c r="L903" s="35"/>
    </row>
    <row r="904" ht="15.75" spans="2:12">
      <c r="B904" s="36"/>
      <c r="C904" s="37"/>
      <c r="D904" s="37"/>
      <c r="E904" s="37"/>
      <c r="F904" s="37"/>
      <c r="G904" s="37"/>
      <c r="H904" s="37"/>
      <c r="I904" s="37"/>
      <c r="J904" s="37"/>
      <c r="K904" s="37"/>
      <c r="L904" s="38"/>
    </row>
    <row r="905" ht="16" customHeight="1" spans="2:12">
      <c r="B905" s="39" t="s">
        <v>12</v>
      </c>
      <c r="C905" s="40" t="s">
        <v>13</v>
      </c>
      <c r="D905" s="41"/>
      <c r="E905" s="42" t="s">
        <v>14</v>
      </c>
      <c r="F905" s="43"/>
      <c r="G905" s="44" t="s">
        <v>15</v>
      </c>
      <c r="H905" s="45"/>
      <c r="I905" s="46"/>
      <c r="J905" s="47" t="s">
        <v>16</v>
      </c>
      <c r="K905" s="48"/>
      <c r="L905" s="49">
        <f>C931+E931</f>
        <v>3482</v>
      </c>
    </row>
    <row r="906" ht="15.75" spans="2:12">
      <c r="B906" s="50"/>
      <c r="C906" s="51" t="s">
        <v>17</v>
      </c>
      <c r="D906" s="51" t="s">
        <v>18</v>
      </c>
      <c r="E906" s="52" t="s">
        <v>17</v>
      </c>
      <c r="F906" s="52" t="s">
        <v>18</v>
      </c>
      <c r="G906" s="53"/>
      <c r="H906" s="54"/>
      <c r="I906" s="55"/>
      <c r="J906" s="56" t="s">
        <v>19</v>
      </c>
      <c r="K906" s="57"/>
      <c r="L906" s="49">
        <f>D931+F931</f>
        <v>337.05</v>
      </c>
    </row>
    <row r="907" ht="15.75" spans="2:12">
      <c r="B907" s="59">
        <v>818</v>
      </c>
      <c r="C907" s="60"/>
      <c r="D907" s="61"/>
      <c r="E907" s="62">
        <v>490</v>
      </c>
      <c r="F907" s="61">
        <v>65</v>
      </c>
      <c r="G907" s="61">
        <v>58</v>
      </c>
      <c r="H907" s="63" t="s">
        <v>170</v>
      </c>
      <c r="I907" s="64"/>
      <c r="J907" s="65" t="s">
        <v>21</v>
      </c>
      <c r="K907" s="66"/>
      <c r="L907" s="67">
        <f>G931</f>
        <v>218</v>
      </c>
    </row>
    <row r="908" ht="15.75" spans="2:12">
      <c r="B908" s="69"/>
      <c r="C908" s="70">
        <v>230</v>
      </c>
      <c r="D908" s="71">
        <v>10</v>
      </c>
      <c r="E908" s="70"/>
      <c r="F908" s="70"/>
      <c r="G908" s="70">
        <v>130</v>
      </c>
      <c r="H908" s="72" t="s">
        <v>63</v>
      </c>
      <c r="I908" s="73"/>
      <c r="J908" s="74" t="s">
        <v>26</v>
      </c>
      <c r="K908" s="57"/>
      <c r="L908" s="49">
        <f>B931+L905+L906-L907-E931-F931</f>
        <v>1981</v>
      </c>
    </row>
    <row r="909" spans="2:12">
      <c r="B909" s="59"/>
      <c r="C909" s="60">
        <v>164</v>
      </c>
      <c r="D909" s="61">
        <v>20</v>
      </c>
      <c r="E909" s="62"/>
      <c r="F909" s="61"/>
      <c r="G909" s="61">
        <v>30</v>
      </c>
      <c r="H909" s="75" t="s">
        <v>29</v>
      </c>
      <c r="I909" s="76"/>
      <c r="J909" s="77"/>
      <c r="K909" s="78" t="s">
        <v>30</v>
      </c>
      <c r="L909" s="79">
        <f>L906/4</f>
        <v>84.2625</v>
      </c>
    </row>
    <row r="910" spans="2:12">
      <c r="B910" s="69"/>
      <c r="C910" s="70"/>
      <c r="D910" s="71"/>
      <c r="E910" s="70">
        <v>300</v>
      </c>
      <c r="F910" s="70">
        <v>30</v>
      </c>
      <c r="G910" s="70"/>
      <c r="H910" s="72"/>
      <c r="I910" s="73"/>
      <c r="J910" s="77"/>
      <c r="K910" s="80" t="s">
        <v>34</v>
      </c>
      <c r="L910" s="81">
        <f>L906/6</f>
        <v>56.175</v>
      </c>
    </row>
    <row r="911" spans="2:12">
      <c r="B911" s="59"/>
      <c r="C911" s="60"/>
      <c r="D911" s="61"/>
      <c r="E911" s="62">
        <v>526</v>
      </c>
      <c r="F911" s="61">
        <v>52.6</v>
      </c>
      <c r="G911" s="61"/>
      <c r="H911" s="75"/>
      <c r="I911" s="76"/>
      <c r="J911" s="77"/>
      <c r="K911" s="82" t="s">
        <v>37</v>
      </c>
      <c r="L911" s="83">
        <f>L906/8</f>
        <v>42.13125</v>
      </c>
    </row>
    <row r="912" spans="2:12">
      <c r="B912" s="69"/>
      <c r="C912" s="70">
        <v>30</v>
      </c>
      <c r="D912" s="85"/>
      <c r="E912" s="85"/>
      <c r="F912" s="70"/>
      <c r="G912" s="70"/>
      <c r="H912" s="72"/>
      <c r="I912" s="73"/>
      <c r="J912" s="86"/>
      <c r="K912" s="77"/>
      <c r="L912" s="87"/>
    </row>
    <row r="913" spans="2:12">
      <c r="B913" s="59"/>
      <c r="C913" s="60">
        <v>170</v>
      </c>
      <c r="D913" s="61">
        <v>10</v>
      </c>
      <c r="E913" s="62"/>
      <c r="F913" s="61"/>
      <c r="G913" s="61"/>
      <c r="H913" s="75"/>
      <c r="I913" s="76"/>
      <c r="J913" s="77"/>
      <c r="K913" s="58"/>
      <c r="L913" s="58"/>
    </row>
    <row r="914" spans="2:12">
      <c r="B914" s="69"/>
      <c r="C914" s="97"/>
      <c r="D914" s="71"/>
      <c r="E914" s="70">
        <v>337</v>
      </c>
      <c r="F914" s="70">
        <v>33.7</v>
      </c>
      <c r="G914" s="70"/>
      <c r="H914" s="72"/>
      <c r="I914" s="73"/>
      <c r="J914" s="77"/>
      <c r="K914" s="58"/>
      <c r="L914" s="58"/>
    </row>
    <row r="915" spans="2:12">
      <c r="B915" s="59"/>
      <c r="C915" s="60"/>
      <c r="D915" s="88"/>
      <c r="E915" s="62">
        <v>525</v>
      </c>
      <c r="F915" s="61">
        <v>78.75</v>
      </c>
      <c r="G915" s="61"/>
      <c r="H915" s="75"/>
      <c r="I915" s="76"/>
      <c r="J915" s="77"/>
      <c r="K915" s="58"/>
      <c r="L915" s="58"/>
    </row>
    <row r="916" spans="2:12">
      <c r="B916" s="69"/>
      <c r="C916" s="70">
        <v>432</v>
      </c>
      <c r="D916" s="71"/>
      <c r="E916" s="70"/>
      <c r="F916" s="70"/>
      <c r="G916" s="70"/>
      <c r="H916" s="72"/>
      <c r="I916" s="73"/>
      <c r="J916" s="89" t="s">
        <v>44</v>
      </c>
      <c r="K916" s="90" t="s">
        <v>45</v>
      </c>
      <c r="L916" s="90" t="s">
        <v>46</v>
      </c>
    </row>
    <row r="917" spans="2:12">
      <c r="B917" s="59"/>
      <c r="C917" s="60">
        <v>108</v>
      </c>
      <c r="D917" s="61">
        <v>17</v>
      </c>
      <c r="E917" s="62"/>
      <c r="F917" s="61"/>
      <c r="G917" s="61"/>
      <c r="H917" s="75"/>
      <c r="I917" s="76"/>
      <c r="J917" s="92" t="s">
        <v>47</v>
      </c>
      <c r="K917" s="93" t="s">
        <v>48</v>
      </c>
      <c r="L917" s="93" t="s">
        <v>43</v>
      </c>
    </row>
    <row r="918" spans="2:12">
      <c r="B918" s="69"/>
      <c r="C918" s="70">
        <v>170</v>
      </c>
      <c r="D918" s="71">
        <v>20</v>
      </c>
      <c r="E918" s="70"/>
      <c r="F918" s="70"/>
      <c r="G918" s="70"/>
      <c r="H918" s="72"/>
      <c r="I918" s="73"/>
      <c r="J918" s="94" t="s">
        <v>52</v>
      </c>
      <c r="K918" s="95" t="s">
        <v>27</v>
      </c>
      <c r="L918" s="95" t="s">
        <v>65</v>
      </c>
    </row>
    <row r="919" spans="2:12">
      <c r="B919" s="59"/>
      <c r="C919" s="60"/>
      <c r="D919" s="61"/>
      <c r="E919" s="62"/>
      <c r="F919" s="61"/>
      <c r="G919" s="61"/>
      <c r="H919" s="75"/>
      <c r="I919" s="76"/>
      <c r="J919" s="77"/>
      <c r="K919" s="77"/>
      <c r="L919" s="87"/>
    </row>
    <row r="920" spans="2:12">
      <c r="B920" s="69"/>
      <c r="C920" s="70"/>
      <c r="D920" s="71"/>
      <c r="E920" s="70"/>
      <c r="F920" s="70"/>
      <c r="G920" s="70"/>
      <c r="H920" s="72"/>
      <c r="I920" s="73"/>
      <c r="J920" s="58"/>
      <c r="K920" s="58"/>
      <c r="L920" s="58"/>
    </row>
    <row r="921" spans="2:12">
      <c r="B921" s="59"/>
      <c r="C921" s="60"/>
      <c r="D921" s="61"/>
      <c r="E921" s="62"/>
      <c r="F921" s="61"/>
      <c r="G921" s="61"/>
      <c r="H921" s="75"/>
      <c r="I921" s="76"/>
      <c r="J921" s="58"/>
      <c r="K921" s="58"/>
      <c r="L921" s="58"/>
    </row>
    <row r="922" spans="2:12">
      <c r="B922" s="69"/>
      <c r="C922" s="71"/>
      <c r="D922" s="71"/>
      <c r="E922" s="70"/>
      <c r="F922" s="70"/>
      <c r="G922" s="70"/>
      <c r="H922" s="72"/>
      <c r="I922" s="73"/>
      <c r="J922" s="58"/>
      <c r="K922" s="58"/>
      <c r="L922" s="58"/>
    </row>
    <row r="923" spans="2:12">
      <c r="B923" s="59"/>
      <c r="C923" s="61"/>
      <c r="D923" s="61"/>
      <c r="E923" s="62"/>
      <c r="F923" s="61"/>
      <c r="G923" s="61"/>
      <c r="H923" s="75"/>
      <c r="I923" s="76"/>
      <c r="J923" s="58"/>
      <c r="K923" s="58"/>
      <c r="L923" s="58"/>
    </row>
    <row r="924" spans="2:12">
      <c r="B924" s="69"/>
      <c r="C924" s="70"/>
      <c r="D924" s="71"/>
      <c r="E924" s="70"/>
      <c r="F924" s="70"/>
      <c r="G924" s="70"/>
      <c r="H924" s="72"/>
      <c r="I924" s="73"/>
      <c r="J924" s="58"/>
      <c r="K924" s="58"/>
      <c r="L924" s="58"/>
    </row>
    <row r="925" spans="2:12">
      <c r="B925" s="59"/>
      <c r="C925" s="60"/>
      <c r="D925" s="61"/>
      <c r="E925" s="62"/>
      <c r="F925" s="61"/>
      <c r="G925" s="61"/>
      <c r="H925" s="75"/>
      <c r="I925" s="76"/>
    </row>
    <row r="926" spans="2:12">
      <c r="B926" s="69"/>
      <c r="C926" s="112"/>
      <c r="D926" s="71"/>
      <c r="E926" s="58"/>
      <c r="F926" s="70"/>
      <c r="G926" s="70"/>
      <c r="H926" s="72"/>
      <c r="I926" s="73"/>
    </row>
    <row r="927" spans="2:12">
      <c r="B927" s="59"/>
      <c r="C927" s="60"/>
      <c r="D927" s="61"/>
      <c r="E927" s="62"/>
      <c r="F927" s="61"/>
      <c r="G927" s="61"/>
      <c r="H927" s="75"/>
      <c r="I927" s="76"/>
    </row>
    <row r="928" spans="2:12">
      <c r="B928" s="96"/>
      <c r="C928" s="97"/>
      <c r="D928" s="98"/>
      <c r="E928" s="99"/>
      <c r="F928" s="98"/>
      <c r="G928" s="98"/>
      <c r="H928" s="72"/>
      <c r="I928" s="73"/>
    </row>
    <row r="929" spans="2:12">
      <c r="B929" s="59"/>
      <c r="C929" s="60"/>
      <c r="D929" s="61"/>
      <c r="E929" s="62"/>
      <c r="F929" s="61"/>
      <c r="G929" s="61"/>
      <c r="H929" s="75"/>
      <c r="I929" s="76"/>
    </row>
    <row r="930" ht="15.75" spans="2:12">
      <c r="B930" s="69"/>
      <c r="C930" s="112"/>
      <c r="D930" s="71"/>
      <c r="E930" s="58"/>
      <c r="F930" s="70"/>
      <c r="G930" s="70"/>
      <c r="H930" s="72"/>
      <c r="I930" s="73"/>
    </row>
    <row r="931" ht="15.75" spans="2:12">
      <c r="B931" s="102">
        <f t="shared" ref="B931:G931" si="147">SUM(B907:B930)</f>
        <v>818</v>
      </c>
      <c r="C931" s="103">
        <f t="shared" si="147"/>
        <v>1304</v>
      </c>
      <c r="D931" s="104">
        <f t="shared" si="147"/>
        <v>77</v>
      </c>
      <c r="E931" s="105">
        <f t="shared" si="147"/>
        <v>2178</v>
      </c>
      <c r="F931" s="106">
        <f t="shared" si="147"/>
        <v>260.05</v>
      </c>
      <c r="G931" s="107">
        <f t="shared" si="147"/>
        <v>218</v>
      </c>
      <c r="H931" s="108" t="s">
        <v>54</v>
      </c>
      <c r="I931" s="109"/>
    </row>
    <row r="933" ht="20" customHeight="1"/>
    <row r="934" ht="19" customHeight="1" spans="2:12">
      <c r="B934" s="33" t="s">
        <v>378</v>
      </c>
      <c r="C934" s="34"/>
      <c r="D934" s="34"/>
      <c r="E934" s="34"/>
      <c r="F934" s="34"/>
      <c r="G934" s="34"/>
      <c r="H934" s="34"/>
      <c r="I934" s="34"/>
      <c r="J934" s="34"/>
      <c r="K934" s="34"/>
      <c r="L934" s="35"/>
    </row>
    <row r="935" ht="15.75" spans="2:12">
      <c r="B935" s="36"/>
      <c r="C935" s="37"/>
      <c r="D935" s="37"/>
      <c r="E935" s="37"/>
      <c r="F935" s="37"/>
      <c r="G935" s="37"/>
      <c r="H935" s="37"/>
      <c r="I935" s="37"/>
      <c r="J935" s="37"/>
      <c r="K935" s="37"/>
      <c r="L935" s="38"/>
    </row>
    <row r="936" ht="15.75" spans="2:12">
      <c r="B936" s="39" t="s">
        <v>12</v>
      </c>
      <c r="C936" s="40" t="s">
        <v>13</v>
      </c>
      <c r="D936" s="41"/>
      <c r="E936" s="42" t="s">
        <v>14</v>
      </c>
      <c r="F936" s="43"/>
      <c r="G936" s="44" t="s">
        <v>15</v>
      </c>
      <c r="H936" s="45"/>
      <c r="I936" s="46"/>
      <c r="J936" s="47" t="s">
        <v>16</v>
      </c>
      <c r="K936" s="48"/>
      <c r="L936" s="49">
        <f>C963+E963</f>
        <v>5291</v>
      </c>
    </row>
    <row r="937" ht="15.75" spans="2:12">
      <c r="B937" s="50"/>
      <c r="C937" s="51" t="s">
        <v>17</v>
      </c>
      <c r="D937" s="51" t="s">
        <v>18</v>
      </c>
      <c r="E937" s="52" t="s">
        <v>17</v>
      </c>
      <c r="F937" s="52" t="s">
        <v>18</v>
      </c>
      <c r="G937" s="53"/>
      <c r="H937" s="54"/>
      <c r="I937" s="55"/>
      <c r="J937" s="56" t="s">
        <v>19</v>
      </c>
      <c r="K937" s="57"/>
      <c r="L937" s="49">
        <f>D963+F963</f>
        <v>423</v>
      </c>
    </row>
    <row r="938" ht="15.75" spans="2:12">
      <c r="B938" s="59">
        <v>2954</v>
      </c>
      <c r="C938" s="60">
        <v>287</v>
      </c>
      <c r="D938" s="61"/>
      <c r="E938" s="62"/>
      <c r="F938" s="61"/>
      <c r="G938" s="61">
        <v>3000</v>
      </c>
      <c r="H938" s="63" t="s">
        <v>105</v>
      </c>
      <c r="I938" s="64"/>
      <c r="J938" s="65" t="s">
        <v>21</v>
      </c>
      <c r="K938" s="66"/>
      <c r="L938" s="67">
        <f>G963</f>
        <v>3036</v>
      </c>
    </row>
    <row r="939" ht="15.75" spans="2:12">
      <c r="B939" s="69"/>
      <c r="C939" s="70">
        <v>55</v>
      </c>
      <c r="D939" s="71"/>
      <c r="E939" s="70"/>
      <c r="F939" s="70"/>
      <c r="G939" s="70">
        <v>36</v>
      </c>
      <c r="H939" s="72" t="s">
        <v>39</v>
      </c>
      <c r="I939" s="73"/>
      <c r="J939" s="74" t="s">
        <v>26</v>
      </c>
      <c r="K939" s="57"/>
      <c r="L939" s="49">
        <f>B963+L936+L937-L938-E963-F963</f>
        <v>3433</v>
      </c>
    </row>
    <row r="940" spans="2:12">
      <c r="B940" s="59"/>
      <c r="C940" s="60"/>
      <c r="D940" s="61"/>
      <c r="E940" s="62">
        <v>366</v>
      </c>
      <c r="F940" s="61">
        <v>36.6</v>
      </c>
      <c r="G940" s="61"/>
      <c r="H940" s="75"/>
      <c r="I940" s="76"/>
      <c r="J940" s="77"/>
      <c r="K940" s="78" t="s">
        <v>30</v>
      </c>
      <c r="L940" s="79">
        <f>L937/4</f>
        <v>105.75</v>
      </c>
    </row>
    <row r="941" spans="2:12">
      <c r="B941" s="69"/>
      <c r="C941" s="70"/>
      <c r="D941" s="71"/>
      <c r="E941" s="70">
        <v>187</v>
      </c>
      <c r="F941" s="70"/>
      <c r="G941" s="70"/>
      <c r="H941" s="72"/>
      <c r="I941" s="73"/>
      <c r="J941" s="77"/>
      <c r="K941" s="80" t="s">
        <v>34</v>
      </c>
      <c r="L941" s="81">
        <f>L937/6</f>
        <v>70.5</v>
      </c>
    </row>
    <row r="942" spans="2:12">
      <c r="B942" s="59"/>
      <c r="C942" s="60">
        <v>576</v>
      </c>
      <c r="D942" s="61">
        <v>24</v>
      </c>
      <c r="E942" s="62"/>
      <c r="F942" s="61"/>
      <c r="G942" s="61"/>
      <c r="H942" s="75"/>
      <c r="I942" s="76"/>
      <c r="J942" s="77"/>
      <c r="K942" s="82" t="s">
        <v>37</v>
      </c>
      <c r="L942" s="83">
        <f>L937/8</f>
        <v>52.875</v>
      </c>
    </row>
    <row r="943" spans="2:12">
      <c r="B943" s="69"/>
      <c r="C943" s="70"/>
      <c r="D943" s="85"/>
      <c r="E943" s="85">
        <v>155</v>
      </c>
      <c r="F943" s="70">
        <v>15.5</v>
      </c>
      <c r="G943" s="70"/>
      <c r="H943" s="72"/>
      <c r="I943" s="73"/>
      <c r="J943" s="86"/>
      <c r="K943" s="77"/>
      <c r="L943" s="87"/>
    </row>
    <row r="944" spans="2:12">
      <c r="B944" s="59"/>
      <c r="C944" s="60"/>
      <c r="D944" s="61"/>
      <c r="E944" s="62">
        <v>330</v>
      </c>
      <c r="F944" s="61">
        <v>33</v>
      </c>
      <c r="G944" s="61"/>
      <c r="H944" s="75"/>
      <c r="I944" s="76"/>
      <c r="J944" s="77"/>
      <c r="K944" s="58"/>
      <c r="L944" s="58"/>
    </row>
    <row r="945" ht="17" customHeight="1" spans="2:12">
      <c r="B945" s="69"/>
      <c r="C945" s="97">
        <v>483</v>
      </c>
      <c r="D945" s="71">
        <v>67</v>
      </c>
      <c r="E945" s="70"/>
      <c r="F945" s="70"/>
      <c r="G945" s="70"/>
      <c r="H945" s="72"/>
      <c r="I945" s="73"/>
      <c r="J945" s="77"/>
      <c r="K945" s="58"/>
      <c r="L945" s="58"/>
    </row>
    <row r="946" spans="2:12">
      <c r="B946" s="59"/>
      <c r="C946" s="60">
        <v>470</v>
      </c>
      <c r="D946" s="88">
        <v>50</v>
      </c>
      <c r="E946" s="62"/>
      <c r="F946" s="61"/>
      <c r="G946" s="61"/>
      <c r="H946" s="75"/>
      <c r="I946" s="76"/>
      <c r="J946" s="77"/>
      <c r="K946" s="58"/>
      <c r="L946" s="58"/>
    </row>
    <row r="947" spans="2:12">
      <c r="B947" s="69"/>
      <c r="C947" s="70">
        <v>15</v>
      </c>
      <c r="D947" s="71"/>
      <c r="E947" s="70"/>
      <c r="F947" s="70"/>
      <c r="G947" s="70"/>
      <c r="H947" s="72"/>
      <c r="I947" s="73"/>
      <c r="J947" s="89" t="s">
        <v>44</v>
      </c>
      <c r="K947" s="90" t="s">
        <v>45</v>
      </c>
      <c r="L947" s="90" t="s">
        <v>46</v>
      </c>
    </row>
    <row r="948" spans="2:12">
      <c r="B948" s="59"/>
      <c r="C948" s="60"/>
      <c r="D948" s="61"/>
      <c r="E948" s="62">
        <v>175</v>
      </c>
      <c r="F948" s="61"/>
      <c r="G948" s="61"/>
      <c r="H948" s="75"/>
      <c r="I948" s="76"/>
      <c r="J948" s="92" t="s">
        <v>47</v>
      </c>
      <c r="K948" s="93" t="s">
        <v>48</v>
      </c>
      <c r="L948" s="93" t="s">
        <v>43</v>
      </c>
    </row>
    <row r="949" spans="2:12">
      <c r="B949" s="69"/>
      <c r="C949" s="70">
        <v>198</v>
      </c>
      <c r="D949" s="71">
        <v>11</v>
      </c>
      <c r="E949" s="70"/>
      <c r="F949" s="70"/>
      <c r="G949" s="70"/>
      <c r="H949" s="72"/>
      <c r="I949" s="73"/>
      <c r="J949" s="94" t="s">
        <v>52</v>
      </c>
      <c r="K949" s="95" t="s">
        <v>27</v>
      </c>
      <c r="L949" s="95" t="s">
        <v>65</v>
      </c>
    </row>
    <row r="950" spans="2:12">
      <c r="B950" s="59"/>
      <c r="C950" s="60">
        <v>340</v>
      </c>
      <c r="D950" s="61">
        <v>20</v>
      </c>
      <c r="E950" s="62"/>
      <c r="F950" s="61"/>
      <c r="G950" s="61"/>
      <c r="H950" s="75"/>
      <c r="I950" s="76"/>
      <c r="J950" s="77"/>
      <c r="K950" s="77"/>
      <c r="L950" s="87"/>
    </row>
    <row r="951" spans="2:12">
      <c r="B951" s="69"/>
      <c r="C951" s="70">
        <v>577</v>
      </c>
      <c r="D951" s="71">
        <v>42</v>
      </c>
      <c r="E951" s="70"/>
      <c r="F951" s="70"/>
      <c r="G951" s="70"/>
      <c r="H951" s="72"/>
      <c r="I951" s="73"/>
      <c r="J951" s="58"/>
      <c r="K951" s="58"/>
      <c r="L951" s="58"/>
    </row>
    <row r="952" spans="2:12">
      <c r="B952" s="59"/>
      <c r="C952" s="60">
        <v>258</v>
      </c>
      <c r="D952" s="61">
        <v>42</v>
      </c>
      <c r="E952" s="62"/>
      <c r="F952" s="61"/>
      <c r="G952" s="61"/>
      <c r="H952" s="75"/>
      <c r="I952" s="76"/>
      <c r="J952" s="58"/>
      <c r="K952" s="58"/>
      <c r="L952" s="58"/>
    </row>
    <row r="953" spans="2:12">
      <c r="B953" s="69"/>
      <c r="C953" s="71"/>
      <c r="D953" s="71"/>
      <c r="E953" s="70">
        <v>248</v>
      </c>
      <c r="F953" s="70">
        <v>24.8</v>
      </c>
      <c r="G953" s="70"/>
      <c r="H953" s="72"/>
      <c r="I953" s="73"/>
      <c r="J953" s="58"/>
      <c r="K953" s="58"/>
      <c r="L953" s="58"/>
    </row>
    <row r="954" spans="2:12">
      <c r="B954" s="59"/>
      <c r="C954" s="61"/>
      <c r="D954" s="61"/>
      <c r="E954" s="62">
        <v>231</v>
      </c>
      <c r="F954" s="61">
        <v>23.1</v>
      </c>
      <c r="G954" s="61"/>
      <c r="H954" s="75"/>
      <c r="I954" s="76"/>
      <c r="J954" s="58"/>
      <c r="K954" s="58"/>
      <c r="L954" s="58"/>
    </row>
    <row r="955" ht="20" customHeight="1" spans="2:12">
      <c r="B955" s="69"/>
      <c r="C955" s="70"/>
      <c r="D955" s="71"/>
      <c r="E955" s="70">
        <v>340</v>
      </c>
      <c r="F955" s="70">
        <v>34</v>
      </c>
      <c r="G955" s="70"/>
      <c r="H955" s="72"/>
      <c r="I955" s="73"/>
      <c r="J955" s="58"/>
      <c r="K955" s="58"/>
      <c r="L955" s="58"/>
    </row>
    <row r="956" spans="2:12">
      <c r="B956" s="59"/>
      <c r="C956" s="60"/>
      <c r="D956" s="61"/>
      <c r="E956" s="62"/>
      <c r="F956" s="61"/>
      <c r="G956" s="61"/>
      <c r="H956" s="75"/>
      <c r="I956" s="76"/>
    </row>
    <row r="957" spans="2:12">
      <c r="B957" s="69"/>
      <c r="C957" s="112"/>
      <c r="D957" s="71"/>
      <c r="E957" s="58"/>
      <c r="F957" s="70"/>
      <c r="G957" s="70"/>
      <c r="H957" s="72"/>
      <c r="I957" s="73"/>
    </row>
    <row r="958" spans="2:12">
      <c r="B958" s="59"/>
      <c r="C958" s="60"/>
      <c r="D958" s="61"/>
      <c r="E958" s="62"/>
      <c r="F958" s="61"/>
      <c r="G958" s="61"/>
      <c r="H958" s="75"/>
      <c r="I958" s="76"/>
    </row>
    <row r="959" spans="2:12">
      <c r="B959" s="96"/>
      <c r="C959" s="97"/>
      <c r="D959" s="98"/>
      <c r="E959" s="99"/>
      <c r="F959" s="98"/>
      <c r="G959" s="98"/>
      <c r="H959" s="72"/>
      <c r="I959" s="73"/>
    </row>
    <row r="960" spans="2:12">
      <c r="B960" s="59"/>
      <c r="C960" s="60"/>
      <c r="D960" s="61"/>
      <c r="E960" s="62"/>
      <c r="F960" s="61"/>
      <c r="G960" s="61"/>
      <c r="H960" s="75"/>
      <c r="I960" s="76"/>
    </row>
    <row r="961" spans="2:12">
      <c r="B961" s="59"/>
      <c r="C961" s="60"/>
      <c r="D961" s="61"/>
      <c r="E961" s="62"/>
      <c r="F961" s="61"/>
      <c r="G961" s="61"/>
      <c r="H961" s="75"/>
      <c r="I961" s="76"/>
    </row>
    <row r="962" ht="15.75" spans="2:12">
      <c r="B962" s="69"/>
      <c r="C962" s="112"/>
      <c r="D962" s="71"/>
      <c r="E962" s="58"/>
      <c r="F962" s="70"/>
      <c r="G962" s="70"/>
      <c r="H962" s="72"/>
      <c r="I962" s="73"/>
    </row>
    <row r="963" ht="15.75" spans="2:12">
      <c r="B963" s="102">
        <f t="shared" ref="B963:G963" si="148">SUM(B938:B962)</f>
        <v>2954</v>
      </c>
      <c r="C963" s="103">
        <f t="shared" si="148"/>
        <v>3259</v>
      </c>
      <c r="D963" s="104">
        <f t="shared" si="148"/>
        <v>256</v>
      </c>
      <c r="E963" s="105">
        <f t="shared" si="148"/>
        <v>2032</v>
      </c>
      <c r="F963" s="106">
        <f t="shared" si="148"/>
        <v>167</v>
      </c>
      <c r="G963" s="107">
        <f t="shared" si="148"/>
        <v>3036</v>
      </c>
      <c r="H963" s="108" t="s">
        <v>54</v>
      </c>
      <c r="I963" s="109"/>
    </row>
    <row r="965" ht="15.75"/>
    <row r="966" ht="16" customHeight="1" spans="2:12">
      <c r="B966" s="33" t="s">
        <v>379</v>
      </c>
      <c r="C966" s="34"/>
      <c r="D966" s="34"/>
      <c r="E966" s="34"/>
      <c r="F966" s="34"/>
      <c r="G966" s="34"/>
      <c r="H966" s="34"/>
      <c r="I966" s="34"/>
      <c r="J966" s="34"/>
      <c r="K966" s="34"/>
      <c r="L966" s="35"/>
    </row>
    <row r="967" ht="15.75" spans="2:12">
      <c r="B967" s="36"/>
      <c r="C967" s="37"/>
      <c r="D967" s="37"/>
      <c r="E967" s="37"/>
      <c r="F967" s="37"/>
      <c r="G967" s="37"/>
      <c r="H967" s="37"/>
      <c r="I967" s="37"/>
      <c r="J967" s="37"/>
      <c r="K967" s="37"/>
      <c r="L967" s="38"/>
    </row>
    <row r="968" ht="15.75" spans="2:12">
      <c r="B968" s="39" t="s">
        <v>12</v>
      </c>
      <c r="C968" s="40" t="s">
        <v>13</v>
      </c>
      <c r="D968" s="41"/>
      <c r="E968" s="42" t="s">
        <v>14</v>
      </c>
      <c r="F968" s="43"/>
      <c r="G968" s="44" t="s">
        <v>15</v>
      </c>
      <c r="H968" s="45"/>
      <c r="I968" s="46"/>
      <c r="J968" s="47" t="s">
        <v>16</v>
      </c>
      <c r="K968" s="48"/>
      <c r="L968" s="49">
        <f>C987+E987</f>
        <v>5312</v>
      </c>
    </row>
    <row r="969" ht="15.75" spans="2:12">
      <c r="B969" s="50"/>
      <c r="C969" s="51" t="s">
        <v>17</v>
      </c>
      <c r="D969" s="51" t="s">
        <v>18</v>
      </c>
      <c r="E969" s="52" t="s">
        <v>17</v>
      </c>
      <c r="F969" s="52" t="s">
        <v>18</v>
      </c>
      <c r="G969" s="53"/>
      <c r="H969" s="54"/>
      <c r="I969" s="55"/>
      <c r="J969" s="56" t="s">
        <v>19</v>
      </c>
      <c r="K969" s="57"/>
      <c r="L969" s="49">
        <f>D987+F987</f>
        <v>549.8</v>
      </c>
    </row>
    <row r="970" ht="15.75" spans="2:12">
      <c r="B970" s="59">
        <v>3432</v>
      </c>
      <c r="C970" s="60">
        <v>181</v>
      </c>
      <c r="D970" s="61">
        <v>10</v>
      </c>
      <c r="E970" s="62"/>
      <c r="F970" s="61"/>
      <c r="G970" s="61">
        <v>60</v>
      </c>
      <c r="H970" s="63" t="s">
        <v>22</v>
      </c>
      <c r="I970" s="64"/>
      <c r="J970" s="65" t="s">
        <v>21</v>
      </c>
      <c r="K970" s="66"/>
      <c r="L970" s="67">
        <f>G987</f>
        <v>2134</v>
      </c>
    </row>
    <row r="971" ht="15.75" spans="2:12">
      <c r="B971" s="69"/>
      <c r="C971" s="70"/>
      <c r="D971" s="71">
        <v>10</v>
      </c>
      <c r="E971" s="70">
        <v>169</v>
      </c>
      <c r="F971" s="70"/>
      <c r="G971" s="70">
        <v>42</v>
      </c>
      <c r="H971" s="72" t="s">
        <v>380</v>
      </c>
      <c r="I971" s="73"/>
      <c r="J971" s="74" t="s">
        <v>26</v>
      </c>
      <c r="K971" s="57"/>
      <c r="L971" s="49">
        <f>B987+L968+L969-L970-E987-F987</f>
        <v>3274</v>
      </c>
    </row>
    <row r="972" spans="2:12">
      <c r="B972" s="59"/>
      <c r="C972" s="60"/>
      <c r="D972" s="61"/>
      <c r="E972" s="62">
        <v>555</v>
      </c>
      <c r="F972" s="61">
        <v>55.5</v>
      </c>
      <c r="G972" s="61">
        <v>30</v>
      </c>
      <c r="H972" s="75" t="s">
        <v>29</v>
      </c>
      <c r="I972" s="76"/>
      <c r="J972" s="77"/>
      <c r="K972" s="78" t="s">
        <v>30</v>
      </c>
      <c r="L972" s="79">
        <f>L969/4</f>
        <v>137.45</v>
      </c>
    </row>
    <row r="973" spans="2:12">
      <c r="B973" s="69"/>
      <c r="C973" s="70"/>
      <c r="D973" s="71"/>
      <c r="E973" s="70">
        <v>176</v>
      </c>
      <c r="F973" s="70"/>
      <c r="G973" s="70">
        <v>1704</v>
      </c>
      <c r="H973" s="72" t="s">
        <v>39</v>
      </c>
      <c r="I973" s="73"/>
      <c r="J973" s="77"/>
      <c r="K973" s="80" t="s">
        <v>34</v>
      </c>
      <c r="L973" s="81">
        <f>L969/6</f>
        <v>91.6333333333333</v>
      </c>
    </row>
    <row r="974" spans="2:12">
      <c r="B974" s="59"/>
      <c r="C974" s="60">
        <v>20</v>
      </c>
      <c r="D974" s="61"/>
      <c r="E974" s="62"/>
      <c r="F974" s="61"/>
      <c r="G974" s="61">
        <v>298</v>
      </c>
      <c r="H974" s="75" t="s">
        <v>350</v>
      </c>
      <c r="I974" s="76"/>
      <c r="J974" s="77"/>
      <c r="K974" s="82" t="s">
        <v>37</v>
      </c>
      <c r="L974" s="83">
        <f>L969/8</f>
        <v>68.725</v>
      </c>
    </row>
    <row r="975" spans="2:12">
      <c r="B975" s="69"/>
      <c r="C975" s="70">
        <v>685</v>
      </c>
      <c r="D975" s="85">
        <v>70</v>
      </c>
      <c r="E975" s="85"/>
      <c r="F975" s="70"/>
      <c r="G975" s="70"/>
      <c r="H975" s="72"/>
      <c r="I975" s="73"/>
      <c r="J975" s="86"/>
      <c r="K975" s="77"/>
      <c r="L975" s="87"/>
    </row>
    <row r="976" spans="2:12">
      <c r="B976" s="59"/>
      <c r="C976" s="60"/>
      <c r="D976" s="61"/>
      <c r="E976" s="62">
        <v>1362</v>
      </c>
      <c r="F976" s="61">
        <v>136.2</v>
      </c>
      <c r="G976" s="61"/>
      <c r="H976" s="75"/>
      <c r="I976" s="76"/>
      <c r="J976" s="77"/>
      <c r="K976" s="58"/>
      <c r="L976" s="58"/>
    </row>
    <row r="977" spans="2:12">
      <c r="B977" s="69"/>
      <c r="C977" s="97"/>
      <c r="D977" s="71"/>
      <c r="E977" s="70">
        <v>551</v>
      </c>
      <c r="F977" s="70">
        <v>55.1</v>
      </c>
      <c r="G977" s="70"/>
      <c r="H977" s="72"/>
      <c r="I977" s="73"/>
      <c r="J977" s="77"/>
      <c r="K977" s="58"/>
      <c r="L977" s="58"/>
    </row>
    <row r="978" spans="2:12">
      <c r="B978" s="59"/>
      <c r="C978" s="60">
        <v>333</v>
      </c>
      <c r="D978" s="88">
        <v>67</v>
      </c>
      <c r="E978" s="62"/>
      <c r="F978" s="61"/>
      <c r="G978" s="61"/>
      <c r="H978" s="75"/>
      <c r="I978" s="76"/>
      <c r="J978" s="77"/>
      <c r="K978" s="58"/>
      <c r="L978" s="58"/>
    </row>
    <row r="979" spans="2:12">
      <c r="B979" s="69"/>
      <c r="C979" s="70">
        <v>170</v>
      </c>
      <c r="D979" s="71"/>
      <c r="E979" s="70"/>
      <c r="F979" s="70"/>
      <c r="G979" s="70"/>
      <c r="H979" s="72"/>
      <c r="I979" s="73"/>
      <c r="J979" s="89" t="s">
        <v>44</v>
      </c>
      <c r="K979" s="90" t="s">
        <v>45</v>
      </c>
      <c r="L979" s="90" t="s">
        <v>46</v>
      </c>
    </row>
    <row r="980" spans="2:12">
      <c r="B980" s="59"/>
      <c r="C980" s="60">
        <v>30</v>
      </c>
      <c r="D980" s="61"/>
      <c r="E980" s="62">
        <v>170</v>
      </c>
      <c r="F980" s="61">
        <v>12</v>
      </c>
      <c r="G980" s="61"/>
      <c r="H980" s="75"/>
      <c r="I980" s="76"/>
      <c r="J980" s="92" t="s">
        <v>47</v>
      </c>
      <c r="K980" s="93" t="s">
        <v>48</v>
      </c>
      <c r="L980" s="93" t="s">
        <v>43</v>
      </c>
    </row>
    <row r="981" spans="2:12">
      <c r="B981" s="69"/>
      <c r="C981" s="70">
        <v>350</v>
      </c>
      <c r="D981" s="71">
        <v>50</v>
      </c>
      <c r="E981" s="70"/>
      <c r="F981" s="70"/>
      <c r="G981" s="70"/>
      <c r="H981" s="72"/>
      <c r="I981" s="73"/>
      <c r="J981" s="94" t="s">
        <v>52</v>
      </c>
      <c r="K981" s="95" t="s">
        <v>27</v>
      </c>
      <c r="L981" s="95" t="s">
        <v>65</v>
      </c>
    </row>
    <row r="982" spans="2:12">
      <c r="B982" s="59"/>
      <c r="C982" s="60"/>
      <c r="D982" s="61"/>
      <c r="E982" s="62">
        <v>560</v>
      </c>
      <c r="F982" s="61">
        <v>84</v>
      </c>
      <c r="G982" s="61"/>
      <c r="H982" s="75"/>
      <c r="I982" s="76"/>
      <c r="J982" s="77"/>
      <c r="K982" s="77"/>
      <c r="L982" s="87"/>
    </row>
    <row r="983" spans="2:12">
      <c r="B983" s="69"/>
      <c r="C983" s="70"/>
      <c r="D983" s="71"/>
      <c r="E983" s="70"/>
      <c r="F983" s="70"/>
      <c r="G983" s="70"/>
      <c r="H983" s="72"/>
      <c r="I983" s="73"/>
      <c r="J983" s="58"/>
      <c r="K983" s="58"/>
      <c r="L983" s="58"/>
    </row>
    <row r="984" spans="2:12">
      <c r="B984" s="59"/>
      <c r="C984" s="60"/>
      <c r="D984" s="61"/>
      <c r="E984" s="62"/>
      <c r="F984" s="61"/>
      <c r="G984" s="61"/>
      <c r="H984" s="75"/>
      <c r="I984" s="76"/>
      <c r="J984" s="58"/>
      <c r="K984" s="58"/>
      <c r="L984" s="58"/>
    </row>
    <row r="985" spans="2:12">
      <c r="B985" s="69"/>
      <c r="C985" s="71"/>
      <c r="D985" s="71"/>
      <c r="E985" s="70"/>
      <c r="F985" s="70"/>
      <c r="G985" s="70"/>
      <c r="H985" s="72"/>
      <c r="I985" s="73"/>
      <c r="J985" s="58"/>
      <c r="K985" s="58"/>
      <c r="L985" s="58"/>
    </row>
    <row r="986" ht="15.75" spans="2:12">
      <c r="B986" s="69"/>
      <c r="C986" s="112"/>
      <c r="D986" s="71"/>
      <c r="E986" s="58"/>
      <c r="F986" s="70"/>
      <c r="G986" s="70"/>
      <c r="H986" s="72"/>
      <c r="I986" s="73"/>
    </row>
    <row r="987" ht="20" customHeight="1" spans="2:12">
      <c r="B987" s="102">
        <f t="shared" ref="B987:G987" si="149">SUM(B970:B986)</f>
        <v>3432</v>
      </c>
      <c r="C987" s="103">
        <f t="shared" si="149"/>
        <v>1769</v>
      </c>
      <c r="D987" s="104">
        <f t="shared" si="149"/>
        <v>207</v>
      </c>
      <c r="E987" s="105">
        <f t="shared" si="149"/>
        <v>3543</v>
      </c>
      <c r="F987" s="106">
        <f t="shared" si="149"/>
        <v>342.8</v>
      </c>
      <c r="G987" s="107">
        <f t="shared" si="149"/>
        <v>2134</v>
      </c>
      <c r="H987" s="108" t="s">
        <v>54</v>
      </c>
      <c r="I987" s="109"/>
    </row>
    <row r="989" ht="15.75"/>
    <row r="990" spans="2:12">
      <c r="B990" s="33" t="s">
        <v>381</v>
      </c>
      <c r="C990" s="34"/>
      <c r="D990" s="34"/>
      <c r="E990" s="34"/>
      <c r="F990" s="34"/>
      <c r="G990" s="34"/>
      <c r="H990" s="34"/>
      <c r="I990" s="34"/>
      <c r="J990" s="34"/>
      <c r="K990" s="34"/>
      <c r="L990" s="35"/>
    </row>
    <row r="991" ht="15.75" spans="2:12">
      <c r="B991" s="36"/>
      <c r="C991" s="37"/>
      <c r="D991" s="37"/>
      <c r="E991" s="37"/>
      <c r="F991" s="37"/>
      <c r="G991" s="37"/>
      <c r="H991" s="37"/>
      <c r="I991" s="37"/>
      <c r="J991" s="37"/>
      <c r="K991" s="37"/>
      <c r="L991" s="38"/>
    </row>
    <row r="992" ht="17" customHeight="1" spans="2:12">
      <c r="B992" s="39" t="s">
        <v>12</v>
      </c>
      <c r="C992" s="40" t="s">
        <v>13</v>
      </c>
      <c r="D992" s="41"/>
      <c r="E992" s="42" t="s">
        <v>14</v>
      </c>
      <c r="F992" s="43"/>
      <c r="G992" s="44" t="s">
        <v>15</v>
      </c>
      <c r="H992" s="45"/>
      <c r="I992" s="46"/>
      <c r="J992" s="47" t="s">
        <v>16</v>
      </c>
      <c r="K992" s="48"/>
      <c r="L992" s="49">
        <f>C1018+E1018</f>
        <v>8939</v>
      </c>
    </row>
    <row r="993" ht="15.75" spans="2:12">
      <c r="B993" s="50"/>
      <c r="C993" s="51" t="s">
        <v>17</v>
      </c>
      <c r="D993" s="51" t="s">
        <v>18</v>
      </c>
      <c r="E993" s="52" t="s">
        <v>17</v>
      </c>
      <c r="F993" s="52" t="s">
        <v>18</v>
      </c>
      <c r="G993" s="53"/>
      <c r="H993" s="54"/>
      <c r="I993" s="55"/>
      <c r="J993" s="56" t="s">
        <v>19</v>
      </c>
      <c r="K993" s="57"/>
      <c r="L993" s="49">
        <f>D1018+F1018</f>
        <v>812.45</v>
      </c>
    </row>
    <row r="994" ht="15.75" spans="2:12">
      <c r="B994" s="59">
        <v>788</v>
      </c>
      <c r="C994" s="60">
        <v>127</v>
      </c>
      <c r="D994" s="61"/>
      <c r="E994" s="62"/>
      <c r="F994" s="61"/>
      <c r="G994" s="61">
        <v>18</v>
      </c>
      <c r="H994" s="63" t="s">
        <v>261</v>
      </c>
      <c r="I994" s="64"/>
      <c r="J994" s="65" t="s">
        <v>21</v>
      </c>
      <c r="K994" s="66"/>
      <c r="L994" s="67">
        <f>G1018</f>
        <v>314</v>
      </c>
    </row>
    <row r="995" ht="15.75" spans="2:12">
      <c r="B995" s="69"/>
      <c r="C995" s="70">
        <v>15</v>
      </c>
      <c r="D995" s="71"/>
      <c r="E995" s="70"/>
      <c r="F995" s="70"/>
      <c r="G995" s="70">
        <v>26</v>
      </c>
      <c r="H995" s="72" t="s">
        <v>253</v>
      </c>
      <c r="I995" s="73"/>
      <c r="J995" s="74" t="s">
        <v>26</v>
      </c>
      <c r="K995" s="57"/>
      <c r="L995" s="49">
        <f>B1018+L992+L993-L994-E1018-F1018</f>
        <v>3882</v>
      </c>
    </row>
    <row r="996" spans="2:12">
      <c r="B996" s="59"/>
      <c r="C996" s="60"/>
      <c r="D996" s="61"/>
      <c r="E996" s="62">
        <v>445</v>
      </c>
      <c r="F996" s="61">
        <v>44.5</v>
      </c>
      <c r="G996" s="61">
        <v>30</v>
      </c>
      <c r="H996" s="75" t="s">
        <v>20</v>
      </c>
      <c r="I996" s="76"/>
      <c r="J996" s="77"/>
      <c r="K996" s="78" t="s">
        <v>30</v>
      </c>
      <c r="L996" s="79">
        <f>L993/4</f>
        <v>203.1125</v>
      </c>
    </row>
    <row r="997" spans="2:12">
      <c r="B997" s="69"/>
      <c r="C997" s="70">
        <v>531</v>
      </c>
      <c r="D997" s="71">
        <v>29</v>
      </c>
      <c r="E997" s="70"/>
      <c r="F997" s="70"/>
      <c r="G997" s="70">
        <v>240</v>
      </c>
      <c r="H997" s="72" t="s">
        <v>39</v>
      </c>
      <c r="I997" s="73"/>
      <c r="J997" s="77"/>
      <c r="K997" s="80" t="s">
        <v>34</v>
      </c>
      <c r="L997" s="81">
        <f>L993/6</f>
        <v>135.408333333333</v>
      </c>
    </row>
    <row r="998" spans="2:12">
      <c r="B998" s="59"/>
      <c r="C998" s="60"/>
      <c r="D998" s="61"/>
      <c r="E998" s="62">
        <v>408</v>
      </c>
      <c r="F998" s="61">
        <v>40.8</v>
      </c>
      <c r="G998" s="61"/>
      <c r="H998" s="75"/>
      <c r="I998" s="76"/>
      <c r="J998" s="77"/>
      <c r="K998" s="82" t="s">
        <v>37</v>
      </c>
      <c r="L998" s="83">
        <f>L993/8</f>
        <v>101.55625</v>
      </c>
    </row>
    <row r="999" spans="2:12">
      <c r="B999" s="69"/>
      <c r="C999" s="70"/>
      <c r="D999" s="85"/>
      <c r="E999" s="85">
        <v>1102</v>
      </c>
      <c r="F999" s="70">
        <v>165.3</v>
      </c>
      <c r="G999" s="70"/>
      <c r="H999" s="72"/>
      <c r="I999" s="73"/>
      <c r="J999" s="86"/>
      <c r="K999" s="77"/>
      <c r="L999" s="87"/>
    </row>
    <row r="1000" spans="2:12">
      <c r="B1000" s="59"/>
      <c r="C1000" s="60">
        <v>478</v>
      </c>
      <c r="D1000" s="61">
        <v>22</v>
      </c>
      <c r="E1000" s="62"/>
      <c r="F1000" s="61"/>
      <c r="G1000" s="61"/>
      <c r="H1000" s="75"/>
      <c r="I1000" s="76"/>
      <c r="J1000" s="77"/>
      <c r="K1000" s="58"/>
      <c r="L1000" s="58"/>
    </row>
    <row r="1001" spans="2:12">
      <c r="B1001" s="69"/>
      <c r="C1001" s="97">
        <v>15</v>
      </c>
      <c r="D1001" s="71"/>
      <c r="E1001" s="70"/>
      <c r="F1001" s="70"/>
      <c r="G1001" s="70"/>
      <c r="H1001" s="72"/>
      <c r="I1001" s="73"/>
      <c r="J1001" s="77"/>
      <c r="K1001" s="58"/>
      <c r="L1001" s="58"/>
    </row>
    <row r="1002" spans="2:12">
      <c r="B1002" s="59"/>
      <c r="C1002" s="60">
        <v>712</v>
      </c>
      <c r="D1002" s="88">
        <v>38</v>
      </c>
      <c r="E1002" s="62"/>
      <c r="F1002" s="61"/>
      <c r="G1002" s="61"/>
      <c r="H1002" s="75"/>
      <c r="I1002" s="76"/>
      <c r="J1002" s="77"/>
      <c r="K1002" s="58"/>
      <c r="L1002" s="58"/>
    </row>
    <row r="1003" spans="2:12">
      <c r="B1003" s="69"/>
      <c r="C1003" s="70">
        <v>471</v>
      </c>
      <c r="D1003" s="71">
        <v>29</v>
      </c>
      <c r="E1003" s="70"/>
      <c r="F1003" s="70"/>
      <c r="G1003" s="70"/>
      <c r="H1003" s="72"/>
      <c r="I1003" s="73"/>
      <c r="J1003" s="89" t="s">
        <v>44</v>
      </c>
      <c r="K1003" s="90" t="s">
        <v>45</v>
      </c>
      <c r="L1003" s="90" t="s">
        <v>46</v>
      </c>
    </row>
    <row r="1004" ht="13" customHeight="1" spans="2:12">
      <c r="B1004" s="59"/>
      <c r="C1004" s="60">
        <v>198</v>
      </c>
      <c r="D1004" s="61"/>
      <c r="E1004" s="62"/>
      <c r="F1004" s="61"/>
      <c r="G1004" s="61"/>
      <c r="H1004" s="75"/>
      <c r="I1004" s="76"/>
      <c r="J1004" s="92" t="s">
        <v>47</v>
      </c>
      <c r="K1004" s="93" t="s">
        <v>48</v>
      </c>
      <c r="L1004" s="93" t="s">
        <v>43</v>
      </c>
    </row>
    <row r="1005" spans="2:12">
      <c r="B1005" s="69"/>
      <c r="C1005" s="70"/>
      <c r="D1005" s="71"/>
      <c r="E1005" s="70">
        <v>215</v>
      </c>
      <c r="F1005" s="70">
        <v>21.5</v>
      </c>
      <c r="G1005" s="70"/>
      <c r="H1005" s="72"/>
      <c r="I1005" s="73"/>
      <c r="J1005" s="94" t="s">
        <v>52</v>
      </c>
      <c r="K1005" s="95" t="s">
        <v>27</v>
      </c>
      <c r="L1005" s="95" t="s">
        <v>65</v>
      </c>
    </row>
    <row r="1006" spans="2:12">
      <c r="B1006" s="59"/>
      <c r="C1006" s="60"/>
      <c r="D1006" s="61"/>
      <c r="E1006" s="62">
        <v>585</v>
      </c>
      <c r="F1006" s="61">
        <v>58.5</v>
      </c>
      <c r="G1006" s="61"/>
      <c r="H1006" s="75"/>
      <c r="I1006" s="76"/>
      <c r="J1006" s="77"/>
      <c r="K1006" s="77"/>
      <c r="L1006" s="87"/>
    </row>
    <row r="1007" spans="2:12">
      <c r="B1007" s="69"/>
      <c r="C1007" s="70"/>
      <c r="D1007" s="71"/>
      <c r="E1007" s="70">
        <v>480</v>
      </c>
      <c r="F1007" s="70">
        <v>48</v>
      </c>
      <c r="G1007" s="70"/>
      <c r="H1007" s="72"/>
      <c r="I1007" s="73"/>
      <c r="J1007" s="58"/>
      <c r="K1007" s="58"/>
      <c r="L1007" s="58"/>
    </row>
    <row r="1008" spans="2:12">
      <c r="B1008" s="59"/>
      <c r="C1008" s="60"/>
      <c r="D1008" s="61"/>
      <c r="E1008" s="62">
        <v>828</v>
      </c>
      <c r="F1008" s="61">
        <v>82.8</v>
      </c>
      <c r="G1008" s="61"/>
      <c r="H1008" s="75"/>
      <c r="I1008" s="76"/>
      <c r="J1008" s="58"/>
      <c r="K1008" s="58"/>
      <c r="L1008" s="58"/>
    </row>
    <row r="1009" spans="2:12">
      <c r="B1009" s="69"/>
      <c r="C1009" s="71"/>
      <c r="D1009" s="71">
        <v>53</v>
      </c>
      <c r="E1009" s="70">
        <v>545</v>
      </c>
      <c r="F1009" s="70"/>
      <c r="G1009" s="70"/>
      <c r="H1009" s="72"/>
      <c r="I1009" s="73"/>
      <c r="J1009" s="58"/>
      <c r="K1009" s="58"/>
      <c r="L1009" s="58"/>
    </row>
    <row r="1010" spans="2:12">
      <c r="B1010" s="59"/>
      <c r="C1010" s="61">
        <v>170</v>
      </c>
      <c r="D1010" s="61"/>
      <c r="E1010" s="62"/>
      <c r="F1010" s="61"/>
      <c r="G1010" s="61"/>
      <c r="H1010" s="75"/>
      <c r="I1010" s="76"/>
      <c r="J1010" s="58"/>
      <c r="K1010" s="58"/>
      <c r="L1010" s="58"/>
    </row>
    <row r="1011" spans="2:12">
      <c r="B1011" s="69"/>
      <c r="C1011" s="70"/>
      <c r="D1011" s="71"/>
      <c r="E1011" s="70">
        <v>269</v>
      </c>
      <c r="F1011" s="70">
        <v>40.35</v>
      </c>
      <c r="G1011" s="70"/>
      <c r="H1011" s="72"/>
      <c r="I1011" s="73"/>
      <c r="J1011" s="58"/>
      <c r="K1011" s="58"/>
      <c r="L1011" s="58"/>
    </row>
    <row r="1012" spans="2:12">
      <c r="B1012" s="59"/>
      <c r="C1012" s="60"/>
      <c r="D1012" s="61"/>
      <c r="E1012" s="62">
        <v>877</v>
      </c>
      <c r="F1012" s="61">
        <v>87.7</v>
      </c>
      <c r="G1012" s="61"/>
      <c r="H1012" s="75"/>
      <c r="I1012" s="76"/>
    </row>
    <row r="1013" spans="2:12">
      <c r="B1013" s="69"/>
      <c r="C1013" s="112">
        <v>398</v>
      </c>
      <c r="D1013" s="71">
        <v>52</v>
      </c>
      <c r="E1013" s="58"/>
      <c r="F1013" s="70"/>
      <c r="G1013" s="70"/>
      <c r="H1013" s="72"/>
      <c r="I1013" s="73"/>
    </row>
    <row r="1014" spans="2:12">
      <c r="B1014" s="59"/>
      <c r="C1014" s="60">
        <v>70</v>
      </c>
      <c r="D1014" s="61"/>
      <c r="E1014" s="62"/>
      <c r="F1014" s="61"/>
      <c r="G1014" s="61"/>
      <c r="H1014" s="75"/>
      <c r="I1014" s="76"/>
    </row>
    <row r="1015" spans="2:12">
      <c r="B1015" s="96"/>
      <c r="C1015" s="97"/>
      <c r="D1015" s="98"/>
      <c r="E1015" s="99"/>
      <c r="F1015" s="98"/>
      <c r="G1015" s="98"/>
      <c r="H1015" s="72"/>
      <c r="I1015" s="73"/>
    </row>
    <row r="1016" spans="2:12">
      <c r="B1016" s="59"/>
      <c r="C1016" s="60"/>
      <c r="D1016" s="61"/>
      <c r="E1016" s="62"/>
      <c r="F1016" s="61"/>
      <c r="G1016" s="61"/>
      <c r="H1016" s="75"/>
      <c r="I1016" s="76"/>
    </row>
    <row r="1017" ht="15.75" spans="2:12">
      <c r="B1017" s="69"/>
      <c r="C1017" s="112"/>
      <c r="D1017" s="71"/>
      <c r="E1017" s="58"/>
      <c r="F1017" s="70"/>
      <c r="G1017" s="70"/>
      <c r="H1017" s="72"/>
      <c r="I1017" s="73"/>
    </row>
    <row r="1018" ht="15.75" spans="2:12">
      <c r="B1018" s="102">
        <f t="shared" ref="B1018:G1018" si="150">SUM(B994:B1017)</f>
        <v>788</v>
      </c>
      <c r="C1018" s="103">
        <f t="shared" si="150"/>
        <v>3185</v>
      </c>
      <c r="D1018" s="104">
        <f t="shared" si="150"/>
        <v>223</v>
      </c>
      <c r="E1018" s="105">
        <f t="shared" si="150"/>
        <v>5754</v>
      </c>
      <c r="F1018" s="106">
        <f t="shared" si="150"/>
        <v>589.45</v>
      </c>
      <c r="G1018" s="107">
        <f t="shared" si="150"/>
        <v>314</v>
      </c>
      <c r="H1018" s="108" t="s">
        <v>54</v>
      </c>
      <c r="I1018" s="109"/>
    </row>
    <row r="1031" ht="19" customHeight="1"/>
    <row r="1047" ht="21" customHeight="1"/>
    <row r="1075" ht="17" customHeight="1"/>
    <row r="1101" ht="19" customHeight="1"/>
    <row r="1107" customHeight="1" spans="148:158">
      <c r="ER1107" s="59"/>
      <c r="ES1107" s="60"/>
      <c r="ET1107" s="61"/>
      <c r="EU1107" s="62"/>
      <c r="EV1107" s="61"/>
      <c r="EW1107" s="61"/>
      <c r="EX1107" s="75"/>
      <c r="EY1107" s="76"/>
      <c r="EZ1107" s="77"/>
    </row>
    <row r="1108" ht="15.75" customHeight="1" spans="148:158">
      <c r="ER1108" s="69"/>
      <c r="ES1108" s="70"/>
      <c r="ET1108" s="71"/>
      <c r="EU1108" s="70"/>
      <c r="EV1108" s="70"/>
      <c r="EW1108" s="70"/>
      <c r="EX1108" s="72"/>
      <c r="EY1108" s="73"/>
      <c r="EZ1108" s="77"/>
    </row>
    <row r="1109" ht="15.75" customHeight="1" spans="148:158">
      <c r="ER1109" s="59"/>
      <c r="ES1109" s="60"/>
      <c r="ET1109" s="61"/>
      <c r="EU1109" s="62"/>
      <c r="EV1109" s="61"/>
      <c r="EW1109" s="61"/>
      <c r="EX1109" s="75"/>
      <c r="EY1109" s="76"/>
      <c r="EZ1109" s="77"/>
    </row>
    <row r="1110" ht="15.75" customHeight="1" spans="148:158">
      <c r="ER1110" s="69"/>
      <c r="ES1110" s="70"/>
      <c r="ET1110" s="71"/>
      <c r="EU1110" s="70"/>
      <c r="EV1110" s="70"/>
      <c r="EW1110" s="70"/>
      <c r="EX1110" s="72"/>
      <c r="EY1110" s="73"/>
      <c r="EZ1110" s="89" t="s">
        <v>44</v>
      </c>
    </row>
    <row r="1111" spans="148:158">
      <c r="ER1111" s="59"/>
      <c r="ES1111" s="60"/>
      <c r="ET1111" s="61"/>
      <c r="EU1111" s="62"/>
      <c r="EV1111" s="61"/>
      <c r="EW1111" s="61"/>
      <c r="EX1111" s="137"/>
      <c r="EY1111" s="138"/>
      <c r="EZ1111" s="92" t="s">
        <v>47</v>
      </c>
    </row>
    <row r="1112" spans="148:158">
      <c r="ER1112" s="69"/>
      <c r="ES1112" s="70"/>
      <c r="ET1112" s="71"/>
      <c r="EU1112" s="70"/>
      <c r="EV1112" s="70"/>
      <c r="EW1112" s="70"/>
      <c r="EX1112" s="72"/>
      <c r="EY1112" s="73"/>
      <c r="EZ1112" s="94" t="s">
        <v>52</v>
      </c>
    </row>
    <row r="1113" spans="148:158">
      <c r="ER1113" s="59"/>
      <c r="ES1113" s="60"/>
      <c r="ET1113" s="61"/>
      <c r="EU1113" s="62"/>
      <c r="EV1113" s="61"/>
      <c r="EW1113" s="61"/>
      <c r="EX1113" s="75"/>
      <c r="EY1113" s="76"/>
      <c r="EZ1113" s="77"/>
      <c r="FA1113" s="58"/>
      <c r="FB1113" s="58"/>
    </row>
    <row r="1114" spans="148:158">
      <c r="ER1114" s="69"/>
      <c r="ES1114" s="70"/>
      <c r="ET1114" s="71"/>
      <c r="EU1114" s="70"/>
      <c r="EV1114" s="70"/>
      <c r="EW1114" s="70"/>
      <c r="EX1114" s="72"/>
      <c r="EY1114" s="73"/>
      <c r="EZ1114" s="58"/>
      <c r="FA1114" s="58"/>
      <c r="FB1114" s="58"/>
    </row>
    <row r="1115" spans="148:158">
      <c r="ER1115" s="59"/>
      <c r="ES1115" s="60"/>
      <c r="ET1115" s="61"/>
      <c r="EU1115" s="62"/>
      <c r="EV1115" s="61"/>
      <c r="EW1115" s="61"/>
      <c r="EX1115" s="75"/>
      <c r="EY1115" s="76"/>
      <c r="EZ1115" s="58"/>
      <c r="FA1115" s="58"/>
      <c r="FB1115" s="58"/>
    </row>
    <row r="1116" spans="148:158">
      <c r="ER1116" s="69"/>
      <c r="ES1116" s="70"/>
      <c r="ET1116" s="71"/>
      <c r="EU1116" s="70"/>
      <c r="EV1116" s="70"/>
      <c r="EW1116" s="70"/>
      <c r="EX1116" s="72"/>
      <c r="EY1116" s="73"/>
      <c r="EZ1116" s="58"/>
      <c r="FA1116" s="90" t="s">
        <v>45</v>
      </c>
      <c r="FB1116" s="90" t="s">
        <v>46</v>
      </c>
    </row>
    <row r="1117" spans="148:158">
      <c r="ER1117" s="59"/>
      <c r="ES1117" s="60"/>
      <c r="ET1117" s="61"/>
      <c r="EU1117" s="62"/>
      <c r="EV1117" s="61"/>
      <c r="EW1117" s="61"/>
      <c r="EX1117" s="75"/>
      <c r="EY1117" s="76"/>
      <c r="EZ1117" s="58"/>
      <c r="FA1117" s="93" t="s">
        <v>77</v>
      </c>
      <c r="FB1117" s="93" t="s">
        <v>39</v>
      </c>
    </row>
    <row r="1118" spans="148:158">
      <c r="ER1118" s="69"/>
      <c r="ES1118" s="70"/>
      <c r="ET1118" s="71"/>
      <c r="EU1118" s="70"/>
      <c r="EV1118" s="70"/>
      <c r="EW1118" s="70"/>
      <c r="EX1118" s="72"/>
      <c r="EY1118" s="73"/>
      <c r="EZ1118" s="58"/>
      <c r="FA1118" s="95" t="s">
        <v>48</v>
      </c>
      <c r="FB1118" s="95" t="s">
        <v>49</v>
      </c>
    </row>
    <row r="1119" spans="148:158">
      <c r="ER1119" s="59"/>
      <c r="ES1119" s="60"/>
      <c r="ET1119" s="61"/>
      <c r="EU1119" s="62"/>
      <c r="EV1119" s="61"/>
      <c r="EW1119" s="61"/>
      <c r="EX1119" s="75"/>
      <c r="EY1119" s="76"/>
      <c r="EZ1119" s="58"/>
      <c r="FA1119" s="77"/>
      <c r="FB1119" s="87"/>
    </row>
    <row r="1120" spans="148:158">
      <c r="ER1120" s="69"/>
      <c r="ES1120" s="70"/>
      <c r="ET1120" s="71"/>
      <c r="EU1120" s="70"/>
      <c r="EV1120" s="70"/>
      <c r="EW1120" s="70"/>
      <c r="EX1120" s="72"/>
      <c r="EY1120" s="73"/>
      <c r="EZ1120" s="58"/>
      <c r="FA1120" s="58"/>
      <c r="FB1120" s="58"/>
    </row>
    <row r="1121" spans="148:158">
      <c r="ER1121" s="59"/>
      <c r="ES1121" s="60"/>
      <c r="ET1121" s="61"/>
      <c r="EU1121" s="62"/>
      <c r="EV1121" s="61"/>
      <c r="EW1121" s="61"/>
      <c r="EX1121" s="75"/>
      <c r="EY1121" s="76"/>
      <c r="EZ1121" s="58"/>
      <c r="FA1121" s="58"/>
      <c r="FB1121" s="58"/>
    </row>
    <row r="1122" spans="148:158">
      <c r="ER1122" s="69"/>
      <c r="ES1122" s="70"/>
      <c r="ET1122" s="71"/>
      <c r="EU1122" s="70"/>
      <c r="EV1122" s="70"/>
      <c r="EW1122" s="70"/>
      <c r="EX1122" s="72"/>
      <c r="EY1122" s="73"/>
      <c r="EZ1122" s="58"/>
      <c r="FA1122" s="58"/>
      <c r="FB1122" s="58"/>
    </row>
    <row r="1123" spans="148:158">
      <c r="ER1123" s="59"/>
      <c r="ES1123" s="60"/>
      <c r="ET1123" s="61"/>
      <c r="EU1123" s="62"/>
      <c r="EV1123" s="70"/>
      <c r="EW1123" s="61"/>
      <c r="EX1123" s="75"/>
      <c r="EY1123" s="76"/>
      <c r="EZ1123" s="58"/>
      <c r="FA1123" s="58"/>
      <c r="FB1123" s="58"/>
    </row>
    <row r="1124" spans="148:158">
      <c r="ER1124" s="69"/>
      <c r="ES1124" s="70"/>
      <c r="ET1124" s="71"/>
      <c r="EU1124" s="70"/>
      <c r="EW1124" s="70"/>
      <c r="EX1124" s="72"/>
      <c r="EY1124" s="73"/>
      <c r="EZ1124" s="58"/>
      <c r="FA1124" s="58"/>
      <c r="FB1124" s="58"/>
    </row>
    <row r="1125" spans="148:158">
      <c r="ER1125" s="59"/>
      <c r="ES1125" s="60"/>
      <c r="ET1125" s="61"/>
      <c r="EU1125" s="62"/>
      <c r="EV1125" s="61"/>
      <c r="EW1125" s="61"/>
      <c r="EX1125" s="75"/>
      <c r="EY1125" s="76"/>
      <c r="EZ1125" s="58"/>
      <c r="FA1125" s="58"/>
      <c r="FB1125" s="58"/>
    </row>
    <row r="1126" spans="148:158">
      <c r="ER1126" s="69"/>
      <c r="ES1126" s="70"/>
      <c r="ET1126" s="71"/>
      <c r="EU1126" s="70"/>
      <c r="EV1126" s="70"/>
      <c r="EW1126" s="70"/>
      <c r="EX1126" s="72"/>
      <c r="EY1126" s="73"/>
      <c r="EZ1126" s="58"/>
    </row>
    <row r="1127" spans="148:158">
      <c r="ER1127" s="59"/>
      <c r="ES1127" s="60"/>
      <c r="ET1127" s="61"/>
      <c r="EU1127" s="62"/>
      <c r="EV1127" s="61"/>
      <c r="EW1127" s="61"/>
      <c r="EX1127" s="75"/>
      <c r="EY1127" s="76"/>
      <c r="EZ1127" s="58"/>
    </row>
    <row r="1128" spans="148:158">
      <c r="ER1128" s="69"/>
      <c r="ES1128" s="112"/>
      <c r="ET1128" s="71"/>
      <c r="EU1128" s="58"/>
      <c r="EV1128" s="70"/>
      <c r="EW1128" s="70"/>
      <c r="EX1128" s="72"/>
      <c r="EY1128" s="73"/>
      <c r="EZ1128" s="58"/>
    </row>
    <row r="1129" spans="148:158">
      <c r="ER1129" s="59"/>
      <c r="ES1129" s="60"/>
      <c r="ET1129" s="61"/>
      <c r="EU1129" s="62"/>
      <c r="EV1129" s="61"/>
      <c r="EW1129" s="61"/>
      <c r="EX1129" s="75"/>
      <c r="EY1129" s="76"/>
      <c r="EZ1129" s="58"/>
    </row>
    <row r="1130" spans="148:158">
      <c r="ER1130" s="69"/>
      <c r="ES1130" s="112"/>
      <c r="ET1130" s="71"/>
      <c r="EU1130" s="58"/>
      <c r="EV1130" s="70"/>
      <c r="EW1130" s="70"/>
      <c r="EX1130" s="72"/>
      <c r="EY1130" s="73"/>
      <c r="EZ1130" s="58"/>
    </row>
    <row r="1131" ht="15.75" spans="148:158">
      <c r="ER1131" s="59"/>
      <c r="ES1131" s="60"/>
      <c r="ET1131" s="61"/>
      <c r="EU1131" s="62"/>
      <c r="EV1131" s="61"/>
      <c r="EW1131" s="61"/>
      <c r="EX1131" s="139"/>
      <c r="EY1131" s="140"/>
      <c r="EZ1131" s="58"/>
    </row>
    <row r="1132" ht="15.75" spans="148:158">
      <c r="ER1132" s="102">
        <f t="shared" ref="ER1132:EW1132" si="151">SUM(ER1107:ER1131)</f>
        <v>0</v>
      </c>
      <c r="ES1132" s="103">
        <f t="shared" si="151"/>
        <v>0</v>
      </c>
      <c r="ET1132" s="104">
        <f t="shared" si="151"/>
        <v>0</v>
      </c>
      <c r="EU1132" s="105">
        <f t="shared" si="151"/>
        <v>0</v>
      </c>
      <c r="EV1132" s="106">
        <f t="shared" si="151"/>
        <v>0</v>
      </c>
      <c r="EW1132" s="107">
        <f t="shared" si="151"/>
        <v>0</v>
      </c>
      <c r="EX1132" s="108" t="s">
        <v>54</v>
      </c>
      <c r="EY1132" s="109"/>
    </row>
    <row r="1154" ht="19" customHeight="1"/>
    <row r="1205" spans="53:107">
      <c r="BA1205" t="e">
        <f>AVERAGE(#REF!,#REF!,#REF!,#REF!,#REF!,#REF!,#REF!,#REF!,#REF!,#REF!)</f>
        <v>#REF!</v>
      </c>
    </row>
    <row r="1207" ht="19" customHeight="1"/>
    <row r="1212" spans="53:107">
      <c r="DC1212" s="58" t="e" cm="1">
        <f t="array" ref="DC1212">#REF!</f>
        <v>#REF!</v>
      </c>
    </row>
    <row r="1260" ht="20" customHeight="1"/>
    <row r="1317" ht="23" customHeight="1"/>
    <row r="1329" ht="17" customHeight="1"/>
    <row r="1373" ht="21" customHeight="1"/>
    <row r="1410" ht="20" customHeight="1"/>
    <row r="1491" ht="17" customHeight="1"/>
    <row r="1815" ht="16" customHeight="1"/>
    <row r="1897" ht="24" customHeight="1"/>
    <row r="1976" ht="21" customHeight="1"/>
    <row r="2054" ht="22" customHeight="1"/>
    <row r="2131" ht="20" customHeight="1"/>
    <row r="2169" ht="22" customHeight="1"/>
    <row r="2207" ht="17" customHeight="1"/>
    <row r="2247" ht="23" customHeight="1"/>
    <row r="2286" ht="19" customHeight="1"/>
    <row r="2326" ht="16" customHeight="1"/>
    <row r="2363" ht="13" customHeight="1"/>
    <row r="2403" customHeight="1"/>
    <row r="2442" ht="20" customHeight="1"/>
    <row r="2481" customHeight="1"/>
    <row r="2521" ht="19" customHeight="1"/>
  </sheetData>
  <mergeCells count="5024">
    <mergeCell ref="C3:D3"/>
    <mergeCell ref="E3:F3"/>
    <mergeCell ref="J3:K3"/>
    <mergeCell ref="P3:Q3"/>
    <mergeCell ref="R3:S3"/>
    <mergeCell ref="W3:X3"/>
    <mergeCell ref="AC3:AD3"/>
    <mergeCell ref="AE3:AF3"/>
    <mergeCell ref="AJ3:AK3"/>
    <mergeCell ref="AP3:AQ3"/>
    <mergeCell ref="AR3:AS3"/>
    <mergeCell ref="AW3:AX3"/>
    <mergeCell ref="BC3:BD3"/>
    <mergeCell ref="BE3:BF3"/>
    <mergeCell ref="BJ3:BK3"/>
    <mergeCell ref="BQ3:BR3"/>
    <mergeCell ref="BS3:BT3"/>
    <mergeCell ref="BX3:BY3"/>
    <mergeCell ref="CD3:CE3"/>
    <mergeCell ref="CF3:CG3"/>
    <mergeCell ref="CK3:CL3"/>
    <mergeCell ref="CQ3:CR3"/>
    <mergeCell ref="CS3:CT3"/>
    <mergeCell ref="CX3:CY3"/>
    <mergeCell ref="DD3:DE3"/>
    <mergeCell ref="DF3:DG3"/>
    <mergeCell ref="DK3:DL3"/>
    <mergeCell ref="DQ3:DR3"/>
    <mergeCell ref="DS3:DT3"/>
    <mergeCell ref="DX3:DY3"/>
    <mergeCell ref="ED3:EE3"/>
    <mergeCell ref="EF3:EG3"/>
    <mergeCell ref="EK3:EL3"/>
    <mergeCell ref="EQ3:ER3"/>
    <mergeCell ref="ES3:ET3"/>
    <mergeCell ref="EX3:EY3"/>
    <mergeCell ref="J4:K4"/>
    <mergeCell ref="W4:X4"/>
    <mergeCell ref="AJ4:AK4"/>
    <mergeCell ref="AW4:AX4"/>
    <mergeCell ref="BJ4:BK4"/>
    <mergeCell ref="BX4:BY4"/>
    <mergeCell ref="CK4:CL4"/>
    <mergeCell ref="CX4:CY4"/>
    <mergeCell ref="DK4:DL4"/>
    <mergeCell ref="DX4:DY4"/>
    <mergeCell ref="EK4:EL4"/>
    <mergeCell ref="EX4:EY4"/>
    <mergeCell ref="H5:I5"/>
    <mergeCell ref="J5:K5"/>
    <mergeCell ref="U5:V5"/>
    <mergeCell ref="W5:X5"/>
    <mergeCell ref="AH5:AI5"/>
    <mergeCell ref="AJ5:AK5"/>
    <mergeCell ref="AU5:AV5"/>
    <mergeCell ref="AW5:AX5"/>
    <mergeCell ref="BH5:BI5"/>
    <mergeCell ref="BJ5:BK5"/>
    <mergeCell ref="BV5:BW5"/>
    <mergeCell ref="BX5:BY5"/>
    <mergeCell ref="CI5:CJ5"/>
    <mergeCell ref="CK5:CL5"/>
    <mergeCell ref="CV5:CW5"/>
    <mergeCell ref="CX5:CY5"/>
    <mergeCell ref="DI5:DJ5"/>
    <mergeCell ref="DK5:DL5"/>
    <mergeCell ref="DV5:DW5"/>
    <mergeCell ref="DX5:DY5"/>
    <mergeCell ref="EI5:EJ5"/>
    <mergeCell ref="EK5:EL5"/>
    <mergeCell ref="EV5:EW5"/>
    <mergeCell ref="EX5:EY5"/>
    <mergeCell ref="H6:I6"/>
    <mergeCell ref="J6:K6"/>
    <mergeCell ref="U6:V6"/>
    <mergeCell ref="W6:X6"/>
    <mergeCell ref="AH6:AI6"/>
    <mergeCell ref="AJ6:AK6"/>
    <mergeCell ref="AU6:AV6"/>
    <mergeCell ref="AW6:AX6"/>
    <mergeCell ref="BH6:BI6"/>
    <mergeCell ref="BJ6:BK6"/>
    <mergeCell ref="BV6:BW6"/>
    <mergeCell ref="BX6:BY6"/>
    <mergeCell ref="CI6:CJ6"/>
    <mergeCell ref="CK6:CL6"/>
    <mergeCell ref="CV6:CW6"/>
    <mergeCell ref="CX6:CY6"/>
    <mergeCell ref="DI6:DJ6"/>
    <mergeCell ref="DK6:DL6"/>
    <mergeCell ref="DV6:DW6"/>
    <mergeCell ref="DX6:DY6"/>
    <mergeCell ref="EI6:EJ6"/>
    <mergeCell ref="EK6:EL6"/>
    <mergeCell ref="EV6:EW6"/>
    <mergeCell ref="EX6:EY6"/>
    <mergeCell ref="H7:I7"/>
    <mergeCell ref="U7:V7"/>
    <mergeCell ref="AH7:AI7"/>
    <mergeCell ref="AU7:AV7"/>
    <mergeCell ref="BH7:BI7"/>
    <mergeCell ref="BV7:BW7"/>
    <mergeCell ref="CI7:CJ7"/>
    <mergeCell ref="CV7:CW7"/>
    <mergeCell ref="DI7:DJ7"/>
    <mergeCell ref="DV7:DW7"/>
    <mergeCell ref="EI7:EJ7"/>
    <mergeCell ref="EV7:EW7"/>
    <mergeCell ref="H8:I8"/>
    <mergeCell ref="U8:V8"/>
    <mergeCell ref="AH8:AI8"/>
    <mergeCell ref="AU8:AV8"/>
    <mergeCell ref="BH8:BI8"/>
    <mergeCell ref="BV8:BW8"/>
    <mergeCell ref="CI8:CJ8"/>
    <mergeCell ref="CV8:CW8"/>
    <mergeCell ref="DI8:DJ8"/>
    <mergeCell ref="DV8:DW8"/>
    <mergeCell ref="EI8:EJ8"/>
    <mergeCell ref="EV8:EW8"/>
    <mergeCell ref="H9:I9"/>
    <mergeCell ref="U9:V9"/>
    <mergeCell ref="AH9:AI9"/>
    <mergeCell ref="AU9:AV9"/>
    <mergeCell ref="BH9:BI9"/>
    <mergeCell ref="BV9:BW9"/>
    <mergeCell ref="CI9:CJ9"/>
    <mergeCell ref="CV9:CW9"/>
    <mergeCell ref="DI9:DJ9"/>
    <mergeCell ref="DV9:DW9"/>
    <mergeCell ref="EI9:EJ9"/>
    <mergeCell ref="EV9:EW9"/>
    <mergeCell ref="H10:I10"/>
    <mergeCell ref="U10:V10"/>
    <mergeCell ref="AH10:AI10"/>
    <mergeCell ref="AU10:AV10"/>
    <mergeCell ref="BH10:BI10"/>
    <mergeCell ref="BV10:BW10"/>
    <mergeCell ref="CI10:CJ10"/>
    <mergeCell ref="CV10:CW10"/>
    <mergeCell ref="DI10:DJ10"/>
    <mergeCell ref="DV10:DW10"/>
    <mergeCell ref="EI10:EJ10"/>
    <mergeCell ref="EV10:EW10"/>
    <mergeCell ref="H11:I11"/>
    <mergeCell ref="U11:V11"/>
    <mergeCell ref="AH11:AI11"/>
    <mergeCell ref="AU11:AV11"/>
    <mergeCell ref="BH11:BI11"/>
    <mergeCell ref="BV11:BW11"/>
    <mergeCell ref="CI11:CJ11"/>
    <mergeCell ref="CV11:CW11"/>
    <mergeCell ref="DI11:DJ11"/>
    <mergeCell ref="DV11:DW11"/>
    <mergeCell ref="EI11:EJ11"/>
    <mergeCell ref="EV11:EW11"/>
    <mergeCell ref="H12:I12"/>
    <mergeCell ref="U12:V12"/>
    <mergeCell ref="AH12:AI12"/>
    <mergeCell ref="AU12:AV12"/>
    <mergeCell ref="BH12:BI12"/>
    <mergeCell ref="BV12:BW12"/>
    <mergeCell ref="CI12:CJ12"/>
    <mergeCell ref="CV12:CW12"/>
    <mergeCell ref="DI12:DJ12"/>
    <mergeCell ref="DV12:DW12"/>
    <mergeCell ref="EI12:EJ12"/>
    <mergeCell ref="EV12:EW12"/>
    <mergeCell ref="H13:I13"/>
    <mergeCell ref="U13:V13"/>
    <mergeCell ref="AH13:AI13"/>
    <mergeCell ref="AU13:AV13"/>
    <mergeCell ref="BH13:BI13"/>
    <mergeCell ref="BV13:BW13"/>
    <mergeCell ref="CI13:CJ13"/>
    <mergeCell ref="CV13:CW13"/>
    <mergeCell ref="DI13:DJ13"/>
    <mergeCell ref="DV13:DW13"/>
    <mergeCell ref="EI13:EJ13"/>
    <mergeCell ref="EV13:EW13"/>
    <mergeCell ref="H14:I14"/>
    <mergeCell ref="U14:V14"/>
    <mergeCell ref="AH14:AI14"/>
    <mergeCell ref="AU14:AV14"/>
    <mergeCell ref="BH14:BI14"/>
    <mergeCell ref="BV14:BW14"/>
    <mergeCell ref="CI14:CJ14"/>
    <mergeCell ref="CV14:CW14"/>
    <mergeCell ref="DI14:DJ14"/>
    <mergeCell ref="DV14:DW14"/>
    <mergeCell ref="EI14:EJ14"/>
    <mergeCell ref="EV14:EW14"/>
    <mergeCell ref="H15:I15"/>
    <mergeCell ref="U15:V15"/>
    <mergeCell ref="AH15:AI15"/>
    <mergeCell ref="AU15:AV15"/>
    <mergeCell ref="BH15:BI15"/>
    <mergeCell ref="BV15:BW15"/>
    <mergeCell ref="CI15:CJ15"/>
    <mergeCell ref="CV15:CW15"/>
    <mergeCell ref="DI15:DJ15"/>
    <mergeCell ref="DV15:DW15"/>
    <mergeCell ref="EI15:EJ15"/>
    <mergeCell ref="EV15:EW15"/>
    <mergeCell ref="H16:I16"/>
    <mergeCell ref="U16:V16"/>
    <mergeCell ref="AH16:AI16"/>
    <mergeCell ref="AU16:AV16"/>
    <mergeCell ref="BH16:BI16"/>
    <mergeCell ref="BV16:BW16"/>
    <mergeCell ref="CI16:CJ16"/>
    <mergeCell ref="CV16:CW16"/>
    <mergeCell ref="DI16:DJ16"/>
    <mergeCell ref="DV16:DW16"/>
    <mergeCell ref="EI16:EJ16"/>
    <mergeCell ref="EV16:EW16"/>
    <mergeCell ref="H17:I17"/>
    <mergeCell ref="U17:V17"/>
    <mergeCell ref="AH17:AI17"/>
    <mergeCell ref="AU17:AV17"/>
    <mergeCell ref="BH17:BI17"/>
    <mergeCell ref="BV17:BW17"/>
    <mergeCell ref="CI17:CJ17"/>
    <mergeCell ref="CV17:CW17"/>
    <mergeCell ref="DI17:DJ17"/>
    <mergeCell ref="DV17:DW17"/>
    <mergeCell ref="EI17:EJ17"/>
    <mergeCell ref="EV17:EW17"/>
    <mergeCell ref="H18:I18"/>
    <mergeCell ref="U18:V18"/>
    <mergeCell ref="AH18:AI18"/>
    <mergeCell ref="AU18:AV18"/>
    <mergeCell ref="BH18:BI18"/>
    <mergeCell ref="BV18:BW18"/>
    <mergeCell ref="CI18:CJ18"/>
    <mergeCell ref="CV18:CW18"/>
    <mergeCell ref="DI18:DJ18"/>
    <mergeCell ref="DV18:DW18"/>
    <mergeCell ref="EI18:EJ18"/>
    <mergeCell ref="EV18:EW18"/>
    <mergeCell ref="H19:I19"/>
    <mergeCell ref="U19:V19"/>
    <mergeCell ref="AH19:AI19"/>
    <mergeCell ref="AU19:AV19"/>
    <mergeCell ref="BH19:BI19"/>
    <mergeCell ref="BV19:BW19"/>
    <mergeCell ref="CI19:CJ19"/>
    <mergeCell ref="CV19:CW19"/>
    <mergeCell ref="DI19:DJ19"/>
    <mergeCell ref="DV19:DW19"/>
    <mergeCell ref="EI19:EJ19"/>
    <mergeCell ref="EV19:EW19"/>
    <mergeCell ref="H20:I20"/>
    <mergeCell ref="U20:V20"/>
    <mergeCell ref="AH20:AI20"/>
    <mergeCell ref="AU20:AV20"/>
    <mergeCell ref="BH20:BI20"/>
    <mergeCell ref="BV20:BW20"/>
    <mergeCell ref="CI20:CJ20"/>
    <mergeCell ref="CV20:CW20"/>
    <mergeCell ref="DI20:DJ20"/>
    <mergeCell ref="DV20:DW20"/>
    <mergeCell ref="EI20:EJ20"/>
    <mergeCell ref="EV20:EW20"/>
    <mergeCell ref="H21:I21"/>
    <mergeCell ref="U21:V21"/>
    <mergeCell ref="AH21:AI21"/>
    <mergeCell ref="AU21:AV21"/>
    <mergeCell ref="BH21:BI21"/>
    <mergeCell ref="BV21:BW21"/>
    <mergeCell ref="CI21:CJ21"/>
    <mergeCell ref="CV21:CW21"/>
    <mergeCell ref="DI21:DJ21"/>
    <mergeCell ref="DV21:DW21"/>
    <mergeCell ref="EI21:EJ21"/>
    <mergeCell ref="EV21:EW21"/>
    <mergeCell ref="H22:I22"/>
    <mergeCell ref="U22:V22"/>
    <mergeCell ref="AH22:AI22"/>
    <mergeCell ref="BV22:BW22"/>
    <mergeCell ref="CI22:CJ22"/>
    <mergeCell ref="CV22:CW22"/>
    <mergeCell ref="DI22:DJ22"/>
    <mergeCell ref="DV22:DW22"/>
    <mergeCell ref="EI22:EJ22"/>
    <mergeCell ref="EV22:EW22"/>
    <mergeCell ref="H23:I23"/>
    <mergeCell ref="U23:V23"/>
    <mergeCell ref="AH23:AI23"/>
    <mergeCell ref="BV23:BW23"/>
    <mergeCell ref="CI23:CJ23"/>
    <mergeCell ref="CV23:CW23"/>
    <mergeCell ref="DI23:DJ23"/>
    <mergeCell ref="DV23:DW23"/>
    <mergeCell ref="EI23:EJ23"/>
    <mergeCell ref="EV23:EW23"/>
    <mergeCell ref="H24:I24"/>
    <mergeCell ref="U24:V24"/>
    <mergeCell ref="AH24:AI24"/>
    <mergeCell ref="BV24:BW24"/>
    <mergeCell ref="CI24:CJ24"/>
    <mergeCell ref="CV24:CW24"/>
    <mergeCell ref="DI24:DJ24"/>
    <mergeCell ref="DV24:DW24"/>
    <mergeCell ref="EI24:EJ24"/>
    <mergeCell ref="EV24:EW24"/>
    <mergeCell ref="H25:I25"/>
    <mergeCell ref="U25:V25"/>
    <mergeCell ref="AH25:AI25"/>
    <mergeCell ref="BV25:BW25"/>
    <mergeCell ref="CI25:CJ25"/>
    <mergeCell ref="CV25:CW25"/>
    <mergeCell ref="DI25:DJ25"/>
    <mergeCell ref="DV25:DW25"/>
    <mergeCell ref="EI25:EJ25"/>
    <mergeCell ref="EV25:EW25"/>
    <mergeCell ref="H26:I26"/>
    <mergeCell ref="U26:V26"/>
    <mergeCell ref="AH26:AI26"/>
    <mergeCell ref="AP26:AQ26"/>
    <mergeCell ref="AR26:AS26"/>
    <mergeCell ref="AW26:AX26"/>
    <mergeCell ref="BC26:BD26"/>
    <mergeCell ref="BE26:BF26"/>
    <mergeCell ref="BJ26:BK26"/>
    <mergeCell ref="BV26:BW26"/>
    <mergeCell ref="CI26:CJ26"/>
    <mergeCell ref="CV26:CW26"/>
    <mergeCell ref="DI26:DJ26"/>
    <mergeCell ref="DV26:DW26"/>
    <mergeCell ref="EI26:EJ26"/>
    <mergeCell ref="EV26:EW26"/>
    <mergeCell ref="H27:I27"/>
    <mergeCell ref="U27:V27"/>
    <mergeCell ref="AH27:AI27"/>
    <mergeCell ref="AW27:AX27"/>
    <mergeCell ref="BJ27:BK27"/>
    <mergeCell ref="BV27:BW27"/>
    <mergeCell ref="CI27:CJ27"/>
    <mergeCell ref="CV27:CW27"/>
    <mergeCell ref="DI27:DJ27"/>
    <mergeCell ref="DV27:DW27"/>
    <mergeCell ref="EI27:EJ27"/>
    <mergeCell ref="EV27:EW27"/>
    <mergeCell ref="H28:I28"/>
    <mergeCell ref="U28:V28"/>
    <mergeCell ref="AH28:AI28"/>
    <mergeCell ref="AU28:AV28"/>
    <mergeCell ref="AW28:AX28"/>
    <mergeCell ref="BH28:BI28"/>
    <mergeCell ref="BJ28:BK28"/>
    <mergeCell ref="BV28:BW28"/>
    <mergeCell ref="CI28:CJ28"/>
    <mergeCell ref="CV28:CW28"/>
    <mergeCell ref="DI28:DJ28"/>
    <mergeCell ref="DV28:DW28"/>
    <mergeCell ref="EI28:EJ28"/>
    <mergeCell ref="EV28:EW28"/>
    <mergeCell ref="H29:I29"/>
    <mergeCell ref="U29:V29"/>
    <mergeCell ref="AH29:AI29"/>
    <mergeCell ref="AU29:AV29"/>
    <mergeCell ref="AW29:AX29"/>
    <mergeCell ref="BH29:BI29"/>
    <mergeCell ref="BJ29:BK29"/>
    <mergeCell ref="BV29:BW29"/>
    <mergeCell ref="CI29:CJ29"/>
    <mergeCell ref="CV29:CW29"/>
    <mergeCell ref="DI29:DJ29"/>
    <mergeCell ref="DV29:DW29"/>
    <mergeCell ref="EI29:EJ29"/>
    <mergeCell ref="EV29:EW29"/>
    <mergeCell ref="H30:I30"/>
    <mergeCell ref="U30:V30"/>
    <mergeCell ref="AU30:AV30"/>
    <mergeCell ref="BH30:BI30"/>
    <mergeCell ref="BV30:BW30"/>
    <mergeCell ref="CI30:CJ30"/>
    <mergeCell ref="CV30:CW30"/>
    <mergeCell ref="DI30:DJ30"/>
    <mergeCell ref="DV30:DW30"/>
    <mergeCell ref="EI30:EJ30"/>
    <mergeCell ref="EV30:EW30"/>
    <mergeCell ref="H31:I31"/>
    <mergeCell ref="U31:V31"/>
    <mergeCell ref="AU31:AV31"/>
    <mergeCell ref="BH31:BI31"/>
    <mergeCell ref="BV31:BW31"/>
    <mergeCell ref="CI31:CJ31"/>
    <mergeCell ref="CV31:CW31"/>
    <mergeCell ref="DI31:DJ31"/>
    <mergeCell ref="DV31:DW31"/>
    <mergeCell ref="EI31:EJ31"/>
    <mergeCell ref="EV31:EW31"/>
    <mergeCell ref="H32:I32"/>
    <mergeCell ref="U32:V32"/>
    <mergeCell ref="AU32:AV32"/>
    <mergeCell ref="BH32:BI32"/>
    <mergeCell ref="BV32:BW32"/>
    <mergeCell ref="CI32:CJ32"/>
    <mergeCell ref="CV32:CW32"/>
    <mergeCell ref="DI32:DJ32"/>
    <mergeCell ref="DV32:DW32"/>
    <mergeCell ref="EI32:EJ32"/>
    <mergeCell ref="EV32:EW32"/>
    <mergeCell ref="H33:I33"/>
    <mergeCell ref="U33:V33"/>
    <mergeCell ref="AU33:AV33"/>
    <mergeCell ref="BH33:BI33"/>
    <mergeCell ref="BV33:BW33"/>
    <mergeCell ref="CI33:CJ33"/>
    <mergeCell ref="CV33:CW33"/>
    <mergeCell ref="DI33:DJ33"/>
    <mergeCell ref="DV33:DW33"/>
    <mergeCell ref="EI33:EJ33"/>
    <mergeCell ref="EV33:EW33"/>
    <mergeCell ref="H34:I34"/>
    <mergeCell ref="U34:V34"/>
    <mergeCell ref="AC34:AD34"/>
    <mergeCell ref="AE34:AF34"/>
    <mergeCell ref="AJ34:AK34"/>
    <mergeCell ref="AU34:AV34"/>
    <mergeCell ref="BH34:BI34"/>
    <mergeCell ref="BV34:BW34"/>
    <mergeCell ref="CI34:CJ34"/>
    <mergeCell ref="CV34:CW34"/>
    <mergeCell ref="DI34:DJ34"/>
    <mergeCell ref="DV34:DW34"/>
    <mergeCell ref="EI34:EJ34"/>
    <mergeCell ref="EV34:EW34"/>
    <mergeCell ref="H35:I35"/>
    <mergeCell ref="U35:V35"/>
    <mergeCell ref="AJ35:AK35"/>
    <mergeCell ref="AU35:AV35"/>
    <mergeCell ref="BH35:BI35"/>
    <mergeCell ref="BV35:BW35"/>
    <mergeCell ref="CI35:CJ35"/>
    <mergeCell ref="CV35:CW35"/>
    <mergeCell ref="DI35:DJ35"/>
    <mergeCell ref="DV35:DW35"/>
    <mergeCell ref="EI35:EJ35"/>
    <mergeCell ref="EV35:EW35"/>
    <mergeCell ref="H36:I36"/>
    <mergeCell ref="U36:V36"/>
    <mergeCell ref="AH36:AI36"/>
    <mergeCell ref="AJ36:AK36"/>
    <mergeCell ref="AU36:AV36"/>
    <mergeCell ref="BH36:BI36"/>
    <mergeCell ref="BV36:BW36"/>
    <mergeCell ref="CI36:CJ36"/>
    <mergeCell ref="CV36:CW36"/>
    <mergeCell ref="DI36:DJ36"/>
    <mergeCell ref="DV36:DW36"/>
    <mergeCell ref="EI36:EJ36"/>
    <mergeCell ref="EV36:EW36"/>
    <mergeCell ref="H37:I37"/>
    <mergeCell ref="U37:V37"/>
    <mergeCell ref="AH37:AI37"/>
    <mergeCell ref="AJ37:AK37"/>
    <mergeCell ref="AU37:AV37"/>
    <mergeCell ref="BH37:BI37"/>
    <mergeCell ref="BV37:BW37"/>
    <mergeCell ref="CI37:CJ37"/>
    <mergeCell ref="CV37:CW37"/>
    <mergeCell ref="DI37:DJ37"/>
    <mergeCell ref="DV37:DW37"/>
    <mergeCell ref="EI37:EJ37"/>
    <mergeCell ref="EV37:EW37"/>
    <mergeCell ref="H38:I38"/>
    <mergeCell ref="U38:V38"/>
    <mergeCell ref="AH38:AI38"/>
    <mergeCell ref="AU38:AV38"/>
    <mergeCell ref="BH38:BI38"/>
    <mergeCell ref="BV38:BW38"/>
    <mergeCell ref="CI38:CJ38"/>
    <mergeCell ref="CV38:CW38"/>
    <mergeCell ref="DI38:DJ38"/>
    <mergeCell ref="DV38:DW38"/>
    <mergeCell ref="EI38:EJ38"/>
    <mergeCell ref="EV38:EW38"/>
    <mergeCell ref="H39:I39"/>
    <mergeCell ref="U39:V39"/>
    <mergeCell ref="AH39:AI39"/>
    <mergeCell ref="AU39:AV39"/>
    <mergeCell ref="BH39:BI39"/>
    <mergeCell ref="BV39:BW39"/>
    <mergeCell ref="CI39:CJ39"/>
    <mergeCell ref="CV39:CW39"/>
    <mergeCell ref="DI39:DJ39"/>
    <mergeCell ref="DV39:DW39"/>
    <mergeCell ref="EI39:EJ39"/>
    <mergeCell ref="EV39:EW39"/>
    <mergeCell ref="U40:V40"/>
    <mergeCell ref="AH40:AI40"/>
    <mergeCell ref="AU40:AV40"/>
    <mergeCell ref="BH40:BI40"/>
    <mergeCell ref="H41:I41"/>
    <mergeCell ref="U41:V41"/>
    <mergeCell ref="AH41:AI41"/>
    <mergeCell ref="AU41:AV41"/>
    <mergeCell ref="BH41:BI41"/>
    <mergeCell ref="BV41:BW41"/>
    <mergeCell ref="CI41:CJ41"/>
    <mergeCell ref="CV41:CW41"/>
    <mergeCell ref="DI41:DJ41"/>
    <mergeCell ref="DV41:DW41"/>
    <mergeCell ref="EI41:EJ41"/>
    <mergeCell ref="EV41:EW41"/>
    <mergeCell ref="H42:I42"/>
    <mergeCell ref="AH42:AI42"/>
    <mergeCell ref="AU42:AV42"/>
    <mergeCell ref="BH42:BI42"/>
    <mergeCell ref="BV42:BW42"/>
    <mergeCell ref="CI42:CJ42"/>
    <mergeCell ref="CV42:CW42"/>
    <mergeCell ref="DI42:DJ42"/>
    <mergeCell ref="DV42:DW42"/>
    <mergeCell ref="EI42:EJ42"/>
    <mergeCell ref="EV42:EW42"/>
    <mergeCell ref="H43:I43"/>
    <mergeCell ref="AH43:AI43"/>
    <mergeCell ref="AU43:AV43"/>
    <mergeCell ref="BH43:BI43"/>
    <mergeCell ref="H44:I44"/>
    <mergeCell ref="AH44:AI44"/>
    <mergeCell ref="AU44:AV44"/>
    <mergeCell ref="BH44:BI44"/>
    <mergeCell ref="H45:I45"/>
    <mergeCell ref="AH45:AI45"/>
    <mergeCell ref="AU45:AV45"/>
    <mergeCell ref="BH45:BI45"/>
    <mergeCell ref="H46:I46"/>
    <mergeCell ref="P46:Q46"/>
    <mergeCell ref="R46:S46"/>
    <mergeCell ref="W46:X46"/>
    <mergeCell ref="AH46:AI46"/>
    <mergeCell ref="AU46:AV46"/>
    <mergeCell ref="BH46:BI46"/>
    <mergeCell ref="H47:I47"/>
    <mergeCell ref="W47:X47"/>
    <mergeCell ref="AH47:AI47"/>
    <mergeCell ref="AU47:AV47"/>
    <mergeCell ref="BH47:BI47"/>
    <mergeCell ref="H48:I48"/>
    <mergeCell ref="U48:V48"/>
    <mergeCell ref="W48:X48"/>
    <mergeCell ref="AH48:AI48"/>
    <mergeCell ref="AU48:AV48"/>
    <mergeCell ref="BH48:BI48"/>
    <mergeCell ref="U49:V49"/>
    <mergeCell ref="W49:X49"/>
    <mergeCell ref="AH49:AI49"/>
    <mergeCell ref="AU49:AV49"/>
    <mergeCell ref="BH49:BI49"/>
    <mergeCell ref="U50:V50"/>
    <mergeCell ref="AH50:AI50"/>
    <mergeCell ref="AU50:AV50"/>
    <mergeCell ref="BH50:BI50"/>
    <mergeCell ref="U51:V51"/>
    <mergeCell ref="AH51:AI51"/>
    <mergeCell ref="AU51:AV51"/>
    <mergeCell ref="U52:V52"/>
    <mergeCell ref="AH52:AI52"/>
    <mergeCell ref="AU52:AV52"/>
    <mergeCell ref="C53:D53"/>
    <mergeCell ref="E53:F53"/>
    <mergeCell ref="J53:K53"/>
    <mergeCell ref="U53:V53"/>
    <mergeCell ref="AH53:AI53"/>
    <mergeCell ref="AU53:AV53"/>
    <mergeCell ref="J54:K54"/>
    <mergeCell ref="U54:V54"/>
    <mergeCell ref="AH54:AI54"/>
    <mergeCell ref="AU54:AV54"/>
    <mergeCell ref="H55:I55"/>
    <mergeCell ref="J55:K55"/>
    <mergeCell ref="U55:V55"/>
    <mergeCell ref="AH55:AI55"/>
    <mergeCell ref="BC55:BD55"/>
    <mergeCell ref="BE55:BF55"/>
    <mergeCell ref="BJ55:BK55"/>
    <mergeCell ref="H56:I56"/>
    <mergeCell ref="J56:K56"/>
    <mergeCell ref="U56:V56"/>
    <mergeCell ref="BJ56:BK56"/>
    <mergeCell ref="H57:I57"/>
    <mergeCell ref="U57:V57"/>
    <mergeCell ref="BH57:BI57"/>
    <mergeCell ref="BJ57:BK57"/>
    <mergeCell ref="H58:I58"/>
    <mergeCell ref="U58:V58"/>
    <mergeCell ref="AB58:AL58"/>
    <mergeCell ref="BH58:BI58"/>
    <mergeCell ref="BJ58:BK58"/>
    <mergeCell ref="H59:I59"/>
    <mergeCell ref="U59:V59"/>
    <mergeCell ref="AP59:AQ59"/>
    <mergeCell ref="AR59:AS59"/>
    <mergeCell ref="AW59:AX59"/>
    <mergeCell ref="BH59:BI59"/>
    <mergeCell ref="H60:I60"/>
    <mergeCell ref="U60:V60"/>
    <mergeCell ref="AC60:AD60"/>
    <mergeCell ref="AE60:AF60"/>
    <mergeCell ref="AJ60:AK60"/>
    <mergeCell ref="AW60:AX60"/>
    <mergeCell ref="BH60:BI60"/>
    <mergeCell ref="H61:I61"/>
    <mergeCell ref="U61:V61"/>
    <mergeCell ref="AJ61:AK61"/>
    <mergeCell ref="AU61:AV61"/>
    <mergeCell ref="AW61:AX61"/>
    <mergeCell ref="BH61:BI61"/>
    <mergeCell ref="H62:I62"/>
    <mergeCell ref="U62:V62"/>
    <mergeCell ref="AH62:AI62"/>
    <mergeCell ref="AJ62:AK62"/>
    <mergeCell ref="AU62:AV62"/>
    <mergeCell ref="AW62:AX62"/>
    <mergeCell ref="BH62:BI62"/>
    <mergeCell ref="H63:I63"/>
    <mergeCell ref="U63:V63"/>
    <mergeCell ref="AH63:AI63"/>
    <mergeCell ref="AJ63:AK63"/>
    <mergeCell ref="AU63:AV63"/>
    <mergeCell ref="BH63:BI63"/>
    <mergeCell ref="H64:I64"/>
    <mergeCell ref="U64:V64"/>
    <mergeCell ref="AH64:AI64"/>
    <mergeCell ref="AU64:AV64"/>
    <mergeCell ref="BH64:BI64"/>
    <mergeCell ref="H65:I65"/>
    <mergeCell ref="U65:V65"/>
    <mergeCell ref="AH65:AI65"/>
    <mergeCell ref="AU65:AV65"/>
    <mergeCell ref="BH65:BI65"/>
    <mergeCell ref="H66:I66"/>
    <mergeCell ref="U66:V66"/>
    <mergeCell ref="AH66:AI66"/>
    <mergeCell ref="AU66:AV66"/>
    <mergeCell ref="BH66:BI66"/>
    <mergeCell ref="H67:I67"/>
    <mergeCell ref="U67:V67"/>
    <mergeCell ref="AH67:AI67"/>
    <mergeCell ref="AU67:AV67"/>
    <mergeCell ref="BH67:BI67"/>
    <mergeCell ref="H68:I68"/>
    <mergeCell ref="U68:V68"/>
    <mergeCell ref="AH68:AI68"/>
    <mergeCell ref="AU68:AV68"/>
    <mergeCell ref="BH68:BI68"/>
    <mergeCell ref="H69:I69"/>
    <mergeCell ref="U69:V69"/>
    <mergeCell ref="AH69:AI69"/>
    <mergeCell ref="AU69:AV69"/>
    <mergeCell ref="BH69:BI69"/>
    <mergeCell ref="H70:I70"/>
    <mergeCell ref="U70:V70"/>
    <mergeCell ref="AH70:AI70"/>
    <mergeCell ref="AU70:AV70"/>
    <mergeCell ref="BH70:BI70"/>
    <mergeCell ref="H71:I71"/>
    <mergeCell ref="U71:V71"/>
    <mergeCell ref="AH71:AI71"/>
    <mergeCell ref="AU71:AV71"/>
    <mergeCell ref="BH71:BI71"/>
    <mergeCell ref="H72:I72"/>
    <mergeCell ref="U72:V72"/>
    <mergeCell ref="AH72:AI72"/>
    <mergeCell ref="AU72:AV72"/>
    <mergeCell ref="BH72:BI72"/>
    <mergeCell ref="H73:I73"/>
    <mergeCell ref="U73:V73"/>
    <mergeCell ref="AH73:AI73"/>
    <mergeCell ref="AU73:AV73"/>
    <mergeCell ref="BH73:BI73"/>
    <mergeCell ref="H74:I74"/>
    <mergeCell ref="U74:V74"/>
    <mergeCell ref="AH74:AI74"/>
    <mergeCell ref="AU74:AV74"/>
    <mergeCell ref="BH74:BI74"/>
    <mergeCell ref="H75:I75"/>
    <mergeCell ref="U75:V75"/>
    <mergeCell ref="AH75:AI75"/>
    <mergeCell ref="AU75:AV75"/>
    <mergeCell ref="BH75:BI75"/>
    <mergeCell ref="H76:I76"/>
    <mergeCell ref="U76:V76"/>
    <mergeCell ref="AH76:AI76"/>
    <mergeCell ref="AU76:AV76"/>
    <mergeCell ref="BH76:BI76"/>
    <mergeCell ref="H77:I77"/>
    <mergeCell ref="U77:V77"/>
    <mergeCell ref="AH77:AI77"/>
    <mergeCell ref="AU77:AV77"/>
    <mergeCell ref="BH77:BI77"/>
    <mergeCell ref="H78:I78"/>
    <mergeCell ref="U78:V78"/>
    <mergeCell ref="AH78:AI78"/>
    <mergeCell ref="AU78:AV78"/>
    <mergeCell ref="BH78:BI78"/>
    <mergeCell ref="H79:I79"/>
    <mergeCell ref="U79:V79"/>
    <mergeCell ref="AH79:AI79"/>
    <mergeCell ref="AU79:AV79"/>
    <mergeCell ref="BH79:BI79"/>
    <mergeCell ref="H80:I80"/>
    <mergeCell ref="U80:V80"/>
    <mergeCell ref="AH80:AI80"/>
    <mergeCell ref="AU80:AV80"/>
    <mergeCell ref="BH80:BI80"/>
    <mergeCell ref="U81:V81"/>
    <mergeCell ref="AH81:AI81"/>
    <mergeCell ref="AU81:AV81"/>
    <mergeCell ref="BH81:BI81"/>
    <mergeCell ref="U82:V82"/>
    <mergeCell ref="AH82:AI82"/>
    <mergeCell ref="AU82:AV82"/>
    <mergeCell ref="U83:V83"/>
    <mergeCell ref="AH83:AI83"/>
    <mergeCell ref="AU83:AV83"/>
    <mergeCell ref="U84:V84"/>
    <mergeCell ref="AU84:AV84"/>
    <mergeCell ref="C85:D85"/>
    <mergeCell ref="E85:F85"/>
    <mergeCell ref="J85:K85"/>
    <mergeCell ref="AU85:AV85"/>
    <mergeCell ref="J86:K86"/>
    <mergeCell ref="AU86:AV86"/>
    <mergeCell ref="BC86:BD86"/>
    <mergeCell ref="BE86:BF86"/>
    <mergeCell ref="BJ86:BK86"/>
    <mergeCell ref="H87:I87"/>
    <mergeCell ref="J87:K87"/>
    <mergeCell ref="AU87:AV87"/>
    <mergeCell ref="BJ87:BK87"/>
    <mergeCell ref="H88:I88"/>
    <mergeCell ref="J88:K88"/>
    <mergeCell ref="AU88:AV88"/>
    <mergeCell ref="BH88:BI88"/>
    <mergeCell ref="BJ88:BK88"/>
    <mergeCell ref="H89:I89"/>
    <mergeCell ref="P89:Q89"/>
    <mergeCell ref="R89:S89"/>
    <mergeCell ref="W89:X89"/>
    <mergeCell ref="AC89:AD89"/>
    <mergeCell ref="AE89:AF89"/>
    <mergeCell ref="AJ89:AK89"/>
    <mergeCell ref="AU89:AV89"/>
    <mergeCell ref="BH89:BI89"/>
    <mergeCell ref="BJ89:BK89"/>
    <mergeCell ref="H90:I90"/>
    <mergeCell ref="W90:X90"/>
    <mergeCell ref="AJ90:AK90"/>
    <mergeCell ref="BH90:BI90"/>
    <mergeCell ref="H91:I91"/>
    <mergeCell ref="U91:V91"/>
    <mergeCell ref="W91:X91"/>
    <mergeCell ref="AH91:AI91"/>
    <mergeCell ref="AJ91:AK91"/>
    <mergeCell ref="BH91:BI91"/>
    <mergeCell ref="H92:I92"/>
    <mergeCell ref="U92:V92"/>
    <mergeCell ref="W92:X92"/>
    <mergeCell ref="AH92:AI92"/>
    <mergeCell ref="AJ92:AK92"/>
    <mergeCell ref="BH92:BI92"/>
    <mergeCell ref="H93:I93"/>
    <mergeCell ref="U93:V93"/>
    <mergeCell ref="AH93:AI93"/>
    <mergeCell ref="BH93:BI93"/>
    <mergeCell ref="H94:I94"/>
    <mergeCell ref="U94:V94"/>
    <mergeCell ref="AH94:AI94"/>
    <mergeCell ref="AP94:AQ94"/>
    <mergeCell ref="AR94:AS94"/>
    <mergeCell ref="AW94:AX94"/>
    <mergeCell ref="BH94:BI94"/>
    <mergeCell ref="H95:I95"/>
    <mergeCell ref="U95:V95"/>
    <mergeCell ref="AH95:AI95"/>
    <mergeCell ref="AW95:AX95"/>
    <mergeCell ref="BH95:BI95"/>
    <mergeCell ref="H96:I96"/>
    <mergeCell ref="U96:V96"/>
    <mergeCell ref="AH96:AI96"/>
    <mergeCell ref="AU96:AV96"/>
    <mergeCell ref="AW96:AX96"/>
    <mergeCell ref="BH96:BI96"/>
    <mergeCell ref="H97:I97"/>
    <mergeCell ref="U97:V97"/>
    <mergeCell ref="AH97:AI97"/>
    <mergeCell ref="AU97:AV97"/>
    <mergeCell ref="AW97:AX97"/>
    <mergeCell ref="BH97:BI97"/>
    <mergeCell ref="H98:I98"/>
    <mergeCell ref="U98:V98"/>
    <mergeCell ref="AH98:AI98"/>
    <mergeCell ref="AU98:AV98"/>
    <mergeCell ref="BH98:BI98"/>
    <mergeCell ref="H99:I99"/>
    <mergeCell ref="U99:V99"/>
    <mergeCell ref="AH99:AI99"/>
    <mergeCell ref="AU99:AV99"/>
    <mergeCell ref="BH99:BI99"/>
    <mergeCell ref="H100:I100"/>
    <mergeCell ref="U100:V100"/>
    <mergeCell ref="AH100:AI100"/>
    <mergeCell ref="AU100:AV100"/>
    <mergeCell ref="BH100:BI100"/>
    <mergeCell ref="H101:I101"/>
    <mergeCell ref="U101:V101"/>
    <mergeCell ref="AH101:AI101"/>
    <mergeCell ref="AU101:AV101"/>
    <mergeCell ref="BH101:BI101"/>
    <mergeCell ref="H102:I102"/>
    <mergeCell ref="U102:V102"/>
    <mergeCell ref="AH102:AI102"/>
    <mergeCell ref="AU102:AV102"/>
    <mergeCell ref="BH102:BI102"/>
    <mergeCell ref="H103:I103"/>
    <mergeCell ref="U103:V103"/>
    <mergeCell ref="AH103:AI103"/>
    <mergeCell ref="AU103:AV103"/>
    <mergeCell ref="BH103:BI103"/>
    <mergeCell ref="H104:I104"/>
    <mergeCell ref="U104:V104"/>
    <mergeCell ref="AH104:AI104"/>
    <mergeCell ref="AU104:AV104"/>
    <mergeCell ref="BH104:BI104"/>
    <mergeCell ref="H105:I105"/>
    <mergeCell ref="U105:V105"/>
    <mergeCell ref="AH105:AI105"/>
    <mergeCell ref="AU105:AV105"/>
    <mergeCell ref="BH105:BI105"/>
    <mergeCell ref="H106:I106"/>
    <mergeCell ref="U106:V106"/>
    <mergeCell ref="AH106:AI106"/>
    <mergeCell ref="AU106:AV106"/>
    <mergeCell ref="BH106:BI106"/>
    <mergeCell ref="H107:I107"/>
    <mergeCell ref="U107:V107"/>
    <mergeCell ref="AH107:AI107"/>
    <mergeCell ref="AU107:AV107"/>
    <mergeCell ref="BH107:BI107"/>
    <mergeCell ref="H108:I108"/>
    <mergeCell ref="U108:V108"/>
    <mergeCell ref="AH108:AI108"/>
    <mergeCell ref="AU108:AV108"/>
    <mergeCell ref="BH108:BI108"/>
    <mergeCell ref="H109:I109"/>
    <mergeCell ref="U109:V109"/>
    <mergeCell ref="AH109:AI109"/>
    <mergeCell ref="AU109:AV109"/>
    <mergeCell ref="H110:I110"/>
    <mergeCell ref="U110:V110"/>
    <mergeCell ref="AH110:AI110"/>
    <mergeCell ref="AU110:AV110"/>
    <mergeCell ref="H111:I111"/>
    <mergeCell ref="U111:V111"/>
    <mergeCell ref="AH111:AI111"/>
    <mergeCell ref="AU111:AV111"/>
    <mergeCell ref="H112:I112"/>
    <mergeCell ref="U112:V112"/>
    <mergeCell ref="AH112:AI112"/>
    <mergeCell ref="AU112:AV112"/>
    <mergeCell ref="H113:I113"/>
    <mergeCell ref="AU113:AV113"/>
    <mergeCell ref="BC113:BD113"/>
    <mergeCell ref="BE113:BF113"/>
    <mergeCell ref="BJ113:BK113"/>
    <mergeCell ref="H114:I114"/>
    <mergeCell ref="AU114:AV114"/>
    <mergeCell ref="BJ114:BK114"/>
    <mergeCell ref="H115:I115"/>
    <mergeCell ref="AU115:AV115"/>
    <mergeCell ref="BH115:BI115"/>
    <mergeCell ref="BJ115:BK115"/>
    <mergeCell ref="H116:I116"/>
    <mergeCell ref="AU116:AV116"/>
    <mergeCell ref="BH116:BI116"/>
    <mergeCell ref="BJ116:BK116"/>
    <mergeCell ref="H117:I117"/>
    <mergeCell ref="P117:Q117"/>
    <mergeCell ref="R117:S117"/>
    <mergeCell ref="W117:X117"/>
    <mergeCell ref="AC117:AD117"/>
    <mergeCell ref="AE117:AF117"/>
    <mergeCell ref="AJ117:AK117"/>
    <mergeCell ref="AU117:AV117"/>
    <mergeCell ref="BH117:BI117"/>
    <mergeCell ref="H118:I118"/>
    <mergeCell ref="W118:X118"/>
    <mergeCell ref="AJ118:AK118"/>
    <mergeCell ref="AU118:AV118"/>
    <mergeCell ref="BH118:BI118"/>
    <mergeCell ref="H119:I119"/>
    <mergeCell ref="U119:V119"/>
    <mergeCell ref="W119:X119"/>
    <mergeCell ref="AH119:AI119"/>
    <mergeCell ref="AJ119:AK119"/>
    <mergeCell ref="AU119:AV119"/>
    <mergeCell ref="BH119:BI119"/>
    <mergeCell ref="H120:I120"/>
    <mergeCell ref="U120:V120"/>
    <mergeCell ref="W120:X120"/>
    <mergeCell ref="AH120:AI120"/>
    <mergeCell ref="AJ120:AK120"/>
    <mergeCell ref="AU120:AV120"/>
    <mergeCell ref="BH120:BI120"/>
    <mergeCell ref="H121:I121"/>
    <mergeCell ref="U121:V121"/>
    <mergeCell ref="AH121:AI121"/>
    <mergeCell ref="AU121:AV121"/>
    <mergeCell ref="BH121:BI121"/>
    <mergeCell ref="U122:V122"/>
    <mergeCell ref="AH122:AI122"/>
    <mergeCell ref="AU122:AV122"/>
    <mergeCell ref="BH122:BI122"/>
    <mergeCell ref="H123:I123"/>
    <mergeCell ref="U123:V123"/>
    <mergeCell ref="AH123:AI123"/>
    <mergeCell ref="AU123:AV123"/>
    <mergeCell ref="BH123:BI123"/>
    <mergeCell ref="H124:I124"/>
    <mergeCell ref="U124:V124"/>
    <mergeCell ref="AH124:AI124"/>
    <mergeCell ref="AU124:AV124"/>
    <mergeCell ref="BH124:BI124"/>
    <mergeCell ref="H125:I125"/>
    <mergeCell ref="U125:V125"/>
    <mergeCell ref="AH125:AI125"/>
    <mergeCell ref="BH125:BI125"/>
    <mergeCell ref="H126:I126"/>
    <mergeCell ref="U126:V126"/>
    <mergeCell ref="AH126:AI126"/>
    <mergeCell ref="BH126:BI126"/>
    <mergeCell ref="H127:I127"/>
    <mergeCell ref="U127:V127"/>
    <mergeCell ref="AH127:AI127"/>
    <mergeCell ref="BH127:BI127"/>
    <mergeCell ref="H128:I128"/>
    <mergeCell ref="U128:V128"/>
    <mergeCell ref="AH128:AI128"/>
    <mergeCell ref="BH128:BI128"/>
    <mergeCell ref="H129:I129"/>
    <mergeCell ref="U129:V129"/>
    <mergeCell ref="AH129:AI129"/>
    <mergeCell ref="AP129:AQ129"/>
    <mergeCell ref="AR129:AS129"/>
    <mergeCell ref="AW129:AX129"/>
    <mergeCell ref="BH129:BI129"/>
    <mergeCell ref="U130:V130"/>
    <mergeCell ref="AH130:AI130"/>
    <mergeCell ref="AW130:AX130"/>
    <mergeCell ref="BH130:BI130"/>
    <mergeCell ref="U131:V131"/>
    <mergeCell ref="AH131:AI131"/>
    <mergeCell ref="AU131:AV131"/>
    <mergeCell ref="AW131:AX131"/>
    <mergeCell ref="BH131:BI131"/>
    <mergeCell ref="U132:V132"/>
    <mergeCell ref="AH132:AI132"/>
    <mergeCell ref="AU132:AV132"/>
    <mergeCell ref="AW132:AX132"/>
    <mergeCell ref="BH132:BI132"/>
    <mergeCell ref="U133:V133"/>
    <mergeCell ref="AH133:AI133"/>
    <mergeCell ref="AU133:AV133"/>
    <mergeCell ref="C134:D134"/>
    <mergeCell ref="E134:F134"/>
    <mergeCell ref="J134:K134"/>
    <mergeCell ref="U134:V134"/>
    <mergeCell ref="AH134:AI134"/>
    <mergeCell ref="AU134:AV134"/>
    <mergeCell ref="J135:K135"/>
    <mergeCell ref="U135:V135"/>
    <mergeCell ref="AH135:AI135"/>
    <mergeCell ref="AU135:AV135"/>
    <mergeCell ref="H136:I136"/>
    <mergeCell ref="J136:K136"/>
    <mergeCell ref="U136:V136"/>
    <mergeCell ref="AH136:AI136"/>
    <mergeCell ref="AU136:AV136"/>
    <mergeCell ref="H137:I137"/>
    <mergeCell ref="J137:K137"/>
    <mergeCell ref="U137:V137"/>
    <mergeCell ref="AU137:AV137"/>
    <mergeCell ref="BC137:BD137"/>
    <mergeCell ref="BE137:BF137"/>
    <mergeCell ref="BJ137:BK137"/>
    <mergeCell ref="H138:I138"/>
    <mergeCell ref="U138:V138"/>
    <mergeCell ref="AU138:AV138"/>
    <mergeCell ref="BJ138:BK138"/>
    <mergeCell ref="H139:I139"/>
    <mergeCell ref="U139:V139"/>
    <mergeCell ref="AU139:AV139"/>
    <mergeCell ref="BH139:BI139"/>
    <mergeCell ref="BJ139:BK139"/>
    <mergeCell ref="H140:I140"/>
    <mergeCell ref="U140:V140"/>
    <mergeCell ref="AU140:AV140"/>
    <mergeCell ref="BH140:BI140"/>
    <mergeCell ref="BJ140:BK140"/>
    <mergeCell ref="H141:I141"/>
    <mergeCell ref="U141:V141"/>
    <mergeCell ref="AC141:AD141"/>
    <mergeCell ref="AE141:AF141"/>
    <mergeCell ref="AJ141:AK141"/>
    <mergeCell ref="AU141:AV141"/>
    <mergeCell ref="BH141:BI141"/>
    <mergeCell ref="H142:I142"/>
    <mergeCell ref="AJ142:AK142"/>
    <mergeCell ref="AU142:AV142"/>
    <mergeCell ref="BH142:BI142"/>
    <mergeCell ref="H143:I143"/>
    <mergeCell ref="AH143:AI143"/>
    <mergeCell ref="AJ143:AK143"/>
    <mergeCell ref="AU143:AV143"/>
    <mergeCell ref="BH143:BI143"/>
    <mergeCell ref="H144:I144"/>
    <mergeCell ref="AH144:AI144"/>
    <mergeCell ref="AJ144:AK144"/>
    <mergeCell ref="AU144:AV144"/>
    <mergeCell ref="BH144:BI144"/>
    <mergeCell ref="H145:I145"/>
    <mergeCell ref="AH145:AI145"/>
    <mergeCell ref="AU145:AV145"/>
    <mergeCell ref="BH145:BI145"/>
    <mergeCell ref="H146:I146"/>
    <mergeCell ref="P146:Q146"/>
    <mergeCell ref="R146:S146"/>
    <mergeCell ref="W146:X146"/>
    <mergeCell ref="AH146:AI146"/>
    <mergeCell ref="AU146:AV146"/>
    <mergeCell ref="BH146:BI146"/>
    <mergeCell ref="H147:I147"/>
    <mergeCell ref="W147:X147"/>
    <mergeCell ref="AH147:AI147"/>
    <mergeCell ref="AU147:AV147"/>
    <mergeCell ref="BH147:BI147"/>
    <mergeCell ref="H148:I148"/>
    <mergeCell ref="U148:V148"/>
    <mergeCell ref="W148:X148"/>
    <mergeCell ref="AH148:AI148"/>
    <mergeCell ref="AU148:AV148"/>
    <mergeCell ref="BH148:BI148"/>
    <mergeCell ref="H149:I149"/>
    <mergeCell ref="U149:V149"/>
    <mergeCell ref="W149:X149"/>
    <mergeCell ref="AH149:AI149"/>
    <mergeCell ref="AU149:AV149"/>
    <mergeCell ref="BH149:BI149"/>
    <mergeCell ref="H150:I150"/>
    <mergeCell ref="U150:V150"/>
    <mergeCell ref="AH150:AI150"/>
    <mergeCell ref="AU150:AV150"/>
    <mergeCell ref="BH150:BI150"/>
    <mergeCell ref="H151:I151"/>
    <mergeCell ref="U151:V151"/>
    <mergeCell ref="AH151:AI151"/>
    <mergeCell ref="AU151:AV151"/>
    <mergeCell ref="BH151:BI151"/>
    <mergeCell ref="H152:I152"/>
    <mergeCell ref="U152:V152"/>
    <mergeCell ref="AH152:AI152"/>
    <mergeCell ref="AU152:AV152"/>
    <mergeCell ref="BH152:BI152"/>
    <mergeCell ref="H153:I153"/>
    <mergeCell ref="U153:V153"/>
    <mergeCell ref="AH153:AI153"/>
    <mergeCell ref="AU153:AV153"/>
    <mergeCell ref="BH153:BI153"/>
    <mergeCell ref="H154:I154"/>
    <mergeCell ref="U154:V154"/>
    <mergeCell ref="AH154:AI154"/>
    <mergeCell ref="AU154:AV154"/>
    <mergeCell ref="BH154:BI154"/>
    <mergeCell ref="H155:I155"/>
    <mergeCell ref="U155:V155"/>
    <mergeCell ref="AH155:AI155"/>
    <mergeCell ref="AU155:AV155"/>
    <mergeCell ref="BH155:BI155"/>
    <mergeCell ref="H156:I156"/>
    <mergeCell ref="U156:V156"/>
    <mergeCell ref="AH156:AI156"/>
    <mergeCell ref="BH156:BI156"/>
    <mergeCell ref="U157:V157"/>
    <mergeCell ref="AH157:AI157"/>
    <mergeCell ref="BH157:BI157"/>
    <mergeCell ref="H158:I158"/>
    <mergeCell ref="U158:V158"/>
    <mergeCell ref="AH158:AI158"/>
    <mergeCell ref="H159:I159"/>
    <mergeCell ref="U159:V159"/>
    <mergeCell ref="AH159:AI159"/>
    <mergeCell ref="H160:I160"/>
    <mergeCell ref="U160:V160"/>
    <mergeCell ref="AH160:AI160"/>
    <mergeCell ref="AP160:AQ160"/>
    <mergeCell ref="AR160:AS160"/>
    <mergeCell ref="AW160:AX160"/>
    <mergeCell ref="H161:I161"/>
    <mergeCell ref="U161:V161"/>
    <mergeCell ref="AW161:AX161"/>
    <mergeCell ref="H162:I162"/>
    <mergeCell ref="U162:V162"/>
    <mergeCell ref="AU162:AV162"/>
    <mergeCell ref="AW162:AX162"/>
    <mergeCell ref="BC162:BD162"/>
    <mergeCell ref="BE162:BF162"/>
    <mergeCell ref="BJ162:BK162"/>
    <mergeCell ref="H163:I163"/>
    <mergeCell ref="U163:V163"/>
    <mergeCell ref="AU163:AV163"/>
    <mergeCell ref="AW163:AX163"/>
    <mergeCell ref="BJ163:BK163"/>
    <mergeCell ref="H164:I164"/>
    <mergeCell ref="U164:V164"/>
    <mergeCell ref="AU164:AV164"/>
    <mergeCell ref="BH164:BI164"/>
    <mergeCell ref="BJ164:BK164"/>
    <mergeCell ref="U165:V165"/>
    <mergeCell ref="AC165:AD165"/>
    <mergeCell ref="AE165:AF165"/>
    <mergeCell ref="AJ165:AK165"/>
    <mergeCell ref="AU165:AV165"/>
    <mergeCell ref="BH165:BI165"/>
    <mergeCell ref="BJ165:BK165"/>
    <mergeCell ref="U166:V166"/>
    <mergeCell ref="AJ166:AK166"/>
    <mergeCell ref="AU166:AV166"/>
    <mergeCell ref="BH166:BI166"/>
    <mergeCell ref="U167:V167"/>
    <mergeCell ref="AH167:AI167"/>
    <mergeCell ref="AJ167:AK167"/>
    <mergeCell ref="AU167:AV167"/>
    <mergeCell ref="BH167:BI167"/>
    <mergeCell ref="U168:V168"/>
    <mergeCell ref="AH168:AI168"/>
    <mergeCell ref="AJ168:AK168"/>
    <mergeCell ref="AU168:AV168"/>
    <mergeCell ref="BH168:BI168"/>
    <mergeCell ref="C169:D169"/>
    <mergeCell ref="E169:F169"/>
    <mergeCell ref="J169:K169"/>
    <mergeCell ref="U169:V169"/>
    <mergeCell ref="AH169:AI169"/>
    <mergeCell ref="AU169:AV169"/>
    <mergeCell ref="BH169:BI169"/>
    <mergeCell ref="J170:K170"/>
    <mergeCell ref="U170:V170"/>
    <mergeCell ref="AH170:AI170"/>
    <mergeCell ref="AU170:AV170"/>
    <mergeCell ref="BH170:BI170"/>
    <mergeCell ref="H171:I171"/>
    <mergeCell ref="J171:K171"/>
    <mergeCell ref="AH171:AI171"/>
    <mergeCell ref="AU171:AV171"/>
    <mergeCell ref="BH171:BI171"/>
    <mergeCell ref="H172:I172"/>
    <mergeCell ref="J172:K172"/>
    <mergeCell ref="AH172:AI172"/>
    <mergeCell ref="AU172:AV172"/>
    <mergeCell ref="BH172:BI172"/>
    <mergeCell ref="H173:I173"/>
    <mergeCell ref="AH173:AI173"/>
    <mergeCell ref="AU173:AV173"/>
    <mergeCell ref="BH173:BI173"/>
    <mergeCell ref="H174:I174"/>
    <mergeCell ref="AH174:AI174"/>
    <mergeCell ref="AU174:AV174"/>
    <mergeCell ref="BH174:BI174"/>
    <mergeCell ref="H175:I175"/>
    <mergeCell ref="P175:Q175"/>
    <mergeCell ref="R175:S175"/>
    <mergeCell ref="W175:X175"/>
    <mergeCell ref="AH175:AI175"/>
    <mergeCell ref="AU175:AV175"/>
    <mergeCell ref="BH175:BI175"/>
    <mergeCell ref="H176:I176"/>
    <mergeCell ref="W176:X176"/>
    <mergeCell ref="AH176:AI176"/>
    <mergeCell ref="AU176:AV176"/>
    <mergeCell ref="BH176:BI176"/>
    <mergeCell ref="H177:I177"/>
    <mergeCell ref="U177:V177"/>
    <mergeCell ref="W177:X177"/>
    <mergeCell ref="AH177:AI177"/>
    <mergeCell ref="AU177:AV177"/>
    <mergeCell ref="BH177:BI177"/>
    <mergeCell ref="H178:I178"/>
    <mergeCell ref="U178:V178"/>
    <mergeCell ref="W178:X178"/>
    <mergeCell ref="AH178:AI178"/>
    <mergeCell ref="AU178:AV178"/>
    <mergeCell ref="BH178:BI178"/>
    <mergeCell ref="H179:I179"/>
    <mergeCell ref="U179:V179"/>
    <mergeCell ref="AH179:AI179"/>
    <mergeCell ref="AU179:AV179"/>
    <mergeCell ref="BH179:BI179"/>
    <mergeCell ref="H180:I180"/>
    <mergeCell ref="U180:V180"/>
    <mergeCell ref="AH180:AI180"/>
    <mergeCell ref="AU180:AV180"/>
    <mergeCell ref="BH180:BI180"/>
    <mergeCell ref="H181:I181"/>
    <mergeCell ref="U181:V181"/>
    <mergeCell ref="AH181:AI181"/>
    <mergeCell ref="AU181:AV181"/>
    <mergeCell ref="BH181:BI181"/>
    <mergeCell ref="H182:I182"/>
    <mergeCell ref="U182:V182"/>
    <mergeCell ref="AH182:AI182"/>
    <mergeCell ref="AU182:AV182"/>
    <mergeCell ref="BH182:BI182"/>
    <mergeCell ref="H183:I183"/>
    <mergeCell ref="U183:V183"/>
    <mergeCell ref="AH183:AI183"/>
    <mergeCell ref="AU183:AV183"/>
    <mergeCell ref="BH183:BI183"/>
    <mergeCell ref="H184:I184"/>
    <mergeCell ref="U184:V184"/>
    <mergeCell ref="AH184:AI184"/>
    <mergeCell ref="H185:I185"/>
    <mergeCell ref="U185:V185"/>
    <mergeCell ref="AH185:AI185"/>
    <mergeCell ref="H186:I186"/>
    <mergeCell ref="U186:V186"/>
    <mergeCell ref="AH186:AI186"/>
    <mergeCell ref="H187:I187"/>
    <mergeCell ref="U187:V187"/>
    <mergeCell ref="AH187:AI187"/>
    <mergeCell ref="H188:I188"/>
    <mergeCell ref="U188:V188"/>
    <mergeCell ref="AH188:AI188"/>
    <mergeCell ref="AP188:AQ188"/>
    <mergeCell ref="AR188:AS188"/>
    <mergeCell ref="AW188:AX188"/>
    <mergeCell ref="BC188:BD188"/>
    <mergeCell ref="BE188:BF188"/>
    <mergeCell ref="BJ188:BK188"/>
    <mergeCell ref="H189:I189"/>
    <mergeCell ref="U189:V189"/>
    <mergeCell ref="AH189:AI189"/>
    <mergeCell ref="AW189:AX189"/>
    <mergeCell ref="BJ189:BK189"/>
    <mergeCell ref="U190:V190"/>
    <mergeCell ref="AU190:AV190"/>
    <mergeCell ref="AW190:AX190"/>
    <mergeCell ref="BH190:BI190"/>
    <mergeCell ref="BJ190:BK190"/>
    <mergeCell ref="U191:V191"/>
    <mergeCell ref="AU191:AV191"/>
    <mergeCell ref="AW191:AX191"/>
    <mergeCell ref="BH191:BI191"/>
    <mergeCell ref="BJ191:BK191"/>
    <mergeCell ref="U192:V192"/>
    <mergeCell ref="AU192:AV192"/>
    <mergeCell ref="BH192:BI192"/>
    <mergeCell ref="U193:V193"/>
    <mergeCell ref="AU193:AV193"/>
    <mergeCell ref="BH193:BI193"/>
    <mergeCell ref="C194:D194"/>
    <mergeCell ref="E194:F194"/>
    <mergeCell ref="J194:K194"/>
    <mergeCell ref="U194:V194"/>
    <mergeCell ref="AC194:AD194"/>
    <mergeCell ref="AE194:AF194"/>
    <mergeCell ref="AJ194:AK194"/>
    <mergeCell ref="AU194:AV194"/>
    <mergeCell ref="BH194:BI194"/>
    <mergeCell ref="J195:K195"/>
    <mergeCell ref="U195:V195"/>
    <mergeCell ref="AJ195:AK195"/>
    <mergeCell ref="AU195:AV195"/>
    <mergeCell ref="BH195:BI195"/>
    <mergeCell ref="H196:I196"/>
    <mergeCell ref="J196:K196"/>
    <mergeCell ref="U196:V196"/>
    <mergeCell ref="AH196:AI196"/>
    <mergeCell ref="AJ196:AK196"/>
    <mergeCell ref="AU196:AV196"/>
    <mergeCell ref="BH196:BI196"/>
    <mergeCell ref="H197:I197"/>
    <mergeCell ref="J197:K197"/>
    <mergeCell ref="U197:V197"/>
    <mergeCell ref="AH197:AI197"/>
    <mergeCell ref="AJ197:AK197"/>
    <mergeCell ref="AU197:AV197"/>
    <mergeCell ref="BH197:BI197"/>
    <mergeCell ref="H198:I198"/>
    <mergeCell ref="AH198:AI198"/>
    <mergeCell ref="AU198:AV198"/>
    <mergeCell ref="BH198:BI198"/>
    <mergeCell ref="H199:I199"/>
    <mergeCell ref="AH199:AI199"/>
    <mergeCell ref="AU199:AV199"/>
    <mergeCell ref="BH199:BI199"/>
    <mergeCell ref="H200:I200"/>
    <mergeCell ref="AH200:AI200"/>
    <mergeCell ref="AU200:AV200"/>
    <mergeCell ref="BH200:BI200"/>
    <mergeCell ref="H201:I201"/>
    <mergeCell ref="AH201:AI201"/>
    <mergeCell ref="AU201:AV201"/>
    <mergeCell ref="BH201:BI201"/>
    <mergeCell ref="H202:I202"/>
    <mergeCell ref="P202:Q202"/>
    <mergeCell ref="R202:S202"/>
    <mergeCell ref="W202:X202"/>
    <mergeCell ref="AH202:AI202"/>
    <mergeCell ref="AU202:AV202"/>
    <mergeCell ref="BH202:BI202"/>
    <mergeCell ref="H203:I203"/>
    <mergeCell ref="W203:X203"/>
    <mergeCell ref="AH203:AI203"/>
    <mergeCell ref="AU203:AV203"/>
    <mergeCell ref="BH203:BI203"/>
    <mergeCell ref="H204:I204"/>
    <mergeCell ref="U204:V204"/>
    <mergeCell ref="W204:X204"/>
    <mergeCell ref="AH204:AI204"/>
    <mergeCell ref="AU204:AV204"/>
    <mergeCell ref="BH204:BI204"/>
    <mergeCell ref="H205:I205"/>
    <mergeCell ref="U205:V205"/>
    <mergeCell ref="W205:X205"/>
    <mergeCell ref="AH205:AI205"/>
    <mergeCell ref="AU205:AV205"/>
    <mergeCell ref="BH205:BI205"/>
    <mergeCell ref="H206:I206"/>
    <mergeCell ref="U206:V206"/>
    <mergeCell ref="AH206:AI206"/>
    <mergeCell ref="AU206:AV206"/>
    <mergeCell ref="BH206:BI206"/>
    <mergeCell ref="H207:I207"/>
    <mergeCell ref="U207:V207"/>
    <mergeCell ref="AH207:AI207"/>
    <mergeCell ref="AU207:AV207"/>
    <mergeCell ref="BH207:BI207"/>
    <mergeCell ref="H208:I208"/>
    <mergeCell ref="U208:V208"/>
    <mergeCell ref="AH208:AI208"/>
    <mergeCell ref="AU208:AV208"/>
    <mergeCell ref="BH208:BI208"/>
    <mergeCell ref="H209:I209"/>
    <mergeCell ref="U209:V209"/>
    <mergeCell ref="AH209:AI209"/>
    <mergeCell ref="AU209:AV209"/>
    <mergeCell ref="BH209:BI209"/>
    <mergeCell ref="H210:I210"/>
    <mergeCell ref="U210:V210"/>
    <mergeCell ref="AH210:AI210"/>
    <mergeCell ref="AU210:AV210"/>
    <mergeCell ref="BH210:BI210"/>
    <mergeCell ref="H211:I211"/>
    <mergeCell ref="U211:V211"/>
    <mergeCell ref="AH211:AI211"/>
    <mergeCell ref="AU211:AV211"/>
    <mergeCell ref="H212:I212"/>
    <mergeCell ref="U212:V212"/>
    <mergeCell ref="AH212:AI212"/>
    <mergeCell ref="AU212:AV212"/>
    <mergeCell ref="H213:I213"/>
    <mergeCell ref="U213:V213"/>
    <mergeCell ref="AH213:AI213"/>
    <mergeCell ref="AU213:AV213"/>
    <mergeCell ref="H214:I214"/>
    <mergeCell ref="U214:V214"/>
    <mergeCell ref="AH214:AI214"/>
    <mergeCell ref="AU214:AV214"/>
    <mergeCell ref="H215:I215"/>
    <mergeCell ref="U215:V215"/>
    <mergeCell ref="AH215:AI215"/>
    <mergeCell ref="BC215:BD215"/>
    <mergeCell ref="BE215:BF215"/>
    <mergeCell ref="BJ215:BK215"/>
    <mergeCell ref="H216:I216"/>
    <mergeCell ref="U216:V216"/>
    <mergeCell ref="AH216:AI216"/>
    <mergeCell ref="BJ216:BK216"/>
    <mergeCell ref="H217:I217"/>
    <mergeCell ref="U217:V217"/>
    <mergeCell ref="AH217:AI217"/>
    <mergeCell ref="BH217:BI217"/>
    <mergeCell ref="BJ217:BK217"/>
    <mergeCell ref="H218:I218"/>
    <mergeCell ref="U218:V218"/>
    <mergeCell ref="BH218:BI218"/>
    <mergeCell ref="BJ218:BK218"/>
    <mergeCell ref="H219:I219"/>
    <mergeCell ref="U219:V219"/>
    <mergeCell ref="AP219:AQ219"/>
    <mergeCell ref="AR219:AS219"/>
    <mergeCell ref="AW219:AX219"/>
    <mergeCell ref="BH219:BI219"/>
    <mergeCell ref="H220:I220"/>
    <mergeCell ref="U220:V220"/>
    <mergeCell ref="AW220:AX220"/>
    <mergeCell ref="BH220:BI220"/>
    <mergeCell ref="U221:V221"/>
    <mergeCell ref="AU221:AV221"/>
    <mergeCell ref="AW221:AX221"/>
    <mergeCell ref="BH221:BI221"/>
    <mergeCell ref="U222:V222"/>
    <mergeCell ref="AC222:AD222"/>
    <mergeCell ref="AE222:AF222"/>
    <mergeCell ref="AJ222:AK222"/>
    <mergeCell ref="AU222:AV222"/>
    <mergeCell ref="AW222:AX222"/>
    <mergeCell ref="BH222:BI222"/>
    <mergeCell ref="U223:V223"/>
    <mergeCell ref="AJ223:AK223"/>
    <mergeCell ref="AU223:AV223"/>
    <mergeCell ref="BH223:BI223"/>
    <mergeCell ref="U224:V224"/>
    <mergeCell ref="AH224:AI224"/>
    <mergeCell ref="AJ224:AK224"/>
    <mergeCell ref="AU224:AV224"/>
    <mergeCell ref="BH224:BI224"/>
    <mergeCell ref="C225:D225"/>
    <mergeCell ref="E225:F225"/>
    <mergeCell ref="J225:K225"/>
    <mergeCell ref="U225:V225"/>
    <mergeCell ref="AH225:AI225"/>
    <mergeCell ref="AJ225:AK225"/>
    <mergeCell ref="AU225:AV225"/>
    <mergeCell ref="BH225:BI225"/>
    <mergeCell ref="J226:K226"/>
    <mergeCell ref="U226:V226"/>
    <mergeCell ref="AH226:AI226"/>
    <mergeCell ref="AU226:AV226"/>
    <mergeCell ref="BH226:BI226"/>
    <mergeCell ref="H227:I227"/>
    <mergeCell ref="J227:K227"/>
    <mergeCell ref="U227:V227"/>
    <mergeCell ref="AH227:AI227"/>
    <mergeCell ref="AU227:AV227"/>
    <mergeCell ref="BH227:BI227"/>
    <mergeCell ref="H228:I228"/>
    <mergeCell ref="J228:K228"/>
    <mergeCell ref="U228:V228"/>
    <mergeCell ref="AH228:AI228"/>
    <mergeCell ref="AU228:AV228"/>
    <mergeCell ref="BH228:BI228"/>
    <mergeCell ref="H229:I229"/>
    <mergeCell ref="U229:V229"/>
    <mergeCell ref="AH229:AI229"/>
    <mergeCell ref="AU229:AV229"/>
    <mergeCell ref="BH229:BI229"/>
    <mergeCell ref="H230:I230"/>
    <mergeCell ref="U230:V230"/>
    <mergeCell ref="AH230:AI230"/>
    <mergeCell ref="AU230:AV230"/>
    <mergeCell ref="BH230:BI230"/>
    <mergeCell ref="H231:I231"/>
    <mergeCell ref="U231:V231"/>
    <mergeCell ref="AH231:AI231"/>
    <mergeCell ref="AU231:AV231"/>
    <mergeCell ref="BH231:BI231"/>
    <mergeCell ref="H232:I232"/>
    <mergeCell ref="U232:V232"/>
    <mergeCell ref="AH232:AI232"/>
    <mergeCell ref="AU232:AV232"/>
    <mergeCell ref="BH232:BI232"/>
    <mergeCell ref="H233:I233"/>
    <mergeCell ref="U233:V233"/>
    <mergeCell ref="AH233:AI233"/>
    <mergeCell ref="AU233:AV233"/>
    <mergeCell ref="BH233:BI233"/>
    <mergeCell ref="H234:I234"/>
    <mergeCell ref="U234:V234"/>
    <mergeCell ref="AH234:AI234"/>
    <mergeCell ref="AU234:AV234"/>
    <mergeCell ref="BH234:BI234"/>
    <mergeCell ref="H235:I235"/>
    <mergeCell ref="U235:V235"/>
    <mergeCell ref="AH235:AI235"/>
    <mergeCell ref="AU235:AV235"/>
    <mergeCell ref="BH235:BI235"/>
    <mergeCell ref="H236:I236"/>
    <mergeCell ref="U236:V236"/>
    <mergeCell ref="AH236:AI236"/>
    <mergeCell ref="AU236:AV236"/>
    <mergeCell ref="BH236:BI236"/>
    <mergeCell ref="H237:I237"/>
    <mergeCell ref="U237:V237"/>
    <mergeCell ref="AH237:AI237"/>
    <mergeCell ref="AU237:AV237"/>
    <mergeCell ref="BH237:BI237"/>
    <mergeCell ref="H238:I238"/>
    <mergeCell ref="U238:V238"/>
    <mergeCell ref="AH238:AI238"/>
    <mergeCell ref="AU238:AV238"/>
    <mergeCell ref="H239:I239"/>
    <mergeCell ref="U239:V239"/>
    <mergeCell ref="AH239:AI239"/>
    <mergeCell ref="AU239:AV239"/>
    <mergeCell ref="H240:I240"/>
    <mergeCell ref="U240:V240"/>
    <mergeCell ref="AH240:AI240"/>
    <mergeCell ref="AU240:AV240"/>
    <mergeCell ref="H241:I241"/>
    <mergeCell ref="AH241:AI241"/>
    <mergeCell ref="AU241:AV241"/>
    <mergeCell ref="H242:I242"/>
    <mergeCell ref="AH242:AI242"/>
    <mergeCell ref="BC242:BD242"/>
    <mergeCell ref="BE242:BF242"/>
    <mergeCell ref="BJ242:BK242"/>
    <mergeCell ref="H243:I243"/>
    <mergeCell ref="AH243:AI243"/>
    <mergeCell ref="BJ243:BK243"/>
    <mergeCell ref="H244:I244"/>
    <mergeCell ref="AH244:AI244"/>
    <mergeCell ref="BH244:BI244"/>
    <mergeCell ref="BJ244:BK244"/>
    <mergeCell ref="H245:I245"/>
    <mergeCell ref="P245:Q245"/>
    <mergeCell ref="R245:S245"/>
    <mergeCell ref="W245:X245"/>
    <mergeCell ref="BH245:BI245"/>
    <mergeCell ref="BJ245:BK245"/>
    <mergeCell ref="H246:I246"/>
    <mergeCell ref="W246:X246"/>
    <mergeCell ref="AP246:AQ246"/>
    <mergeCell ref="AR246:AS246"/>
    <mergeCell ref="AW246:AX246"/>
    <mergeCell ref="BH246:BI246"/>
    <mergeCell ref="H247:I247"/>
    <mergeCell ref="U247:V247"/>
    <mergeCell ref="W247:X247"/>
    <mergeCell ref="AW247:AX247"/>
    <mergeCell ref="BH247:BI247"/>
    <mergeCell ref="H248:I248"/>
    <mergeCell ref="U248:V248"/>
    <mergeCell ref="W248:X248"/>
    <mergeCell ref="AU248:AV248"/>
    <mergeCell ref="AW248:AX248"/>
    <mergeCell ref="BH248:BI248"/>
    <mergeCell ref="H249:I249"/>
    <mergeCell ref="U249:V249"/>
    <mergeCell ref="AC249:AD249"/>
    <mergeCell ref="AE249:AF249"/>
    <mergeCell ref="AJ249:AK249"/>
    <mergeCell ref="AU249:AV249"/>
    <mergeCell ref="AW249:AX249"/>
    <mergeCell ref="BH249:BI249"/>
    <mergeCell ref="H250:I250"/>
    <mergeCell ref="U250:V250"/>
    <mergeCell ref="AJ250:AK250"/>
    <mergeCell ref="AU250:AV250"/>
    <mergeCell ref="BH250:BI250"/>
    <mergeCell ref="H251:I251"/>
    <mergeCell ref="U251:V251"/>
    <mergeCell ref="AH251:AI251"/>
    <mergeCell ref="AJ251:AK251"/>
    <mergeCell ref="AU251:AV251"/>
    <mergeCell ref="BH251:BI251"/>
    <mergeCell ref="U252:V252"/>
    <mergeCell ref="AH252:AI252"/>
    <mergeCell ref="AJ252:AK252"/>
    <mergeCell ref="AU252:AV252"/>
    <mergeCell ref="BH252:BI252"/>
    <mergeCell ref="U253:V253"/>
    <mergeCell ref="AH253:AI253"/>
    <mergeCell ref="AU253:AV253"/>
    <mergeCell ref="BH253:BI253"/>
    <mergeCell ref="U254:V254"/>
    <mergeCell ref="AH254:AI254"/>
    <mergeCell ref="AU254:AV254"/>
    <mergeCell ref="BH254:BI254"/>
    <mergeCell ref="U255:V255"/>
    <mergeCell ref="AH255:AI255"/>
    <mergeCell ref="AU255:AV255"/>
    <mergeCell ref="BH255:BI255"/>
    <mergeCell ref="C256:D256"/>
    <mergeCell ref="E256:F256"/>
    <mergeCell ref="J256:K256"/>
    <mergeCell ref="U256:V256"/>
    <mergeCell ref="AH256:AI256"/>
    <mergeCell ref="AU256:AV256"/>
    <mergeCell ref="BH256:BI256"/>
    <mergeCell ref="J257:K257"/>
    <mergeCell ref="U257:V257"/>
    <mergeCell ref="AH257:AI257"/>
    <mergeCell ref="AU257:AV257"/>
    <mergeCell ref="BH257:BI257"/>
    <mergeCell ref="H258:I258"/>
    <mergeCell ref="J258:K258"/>
    <mergeCell ref="U258:V258"/>
    <mergeCell ref="AH258:AI258"/>
    <mergeCell ref="AU258:AV258"/>
    <mergeCell ref="BH258:BI258"/>
    <mergeCell ref="H259:I259"/>
    <mergeCell ref="J259:K259"/>
    <mergeCell ref="U259:V259"/>
    <mergeCell ref="AH259:AI259"/>
    <mergeCell ref="AU259:AV259"/>
    <mergeCell ref="H260:I260"/>
    <mergeCell ref="U260:V260"/>
    <mergeCell ref="AH260:AI260"/>
    <mergeCell ref="AU260:AV260"/>
    <mergeCell ref="H261:I261"/>
    <mergeCell ref="U261:V261"/>
    <mergeCell ref="AH261:AI261"/>
    <mergeCell ref="AU261:AV261"/>
    <mergeCell ref="H262:I262"/>
    <mergeCell ref="U262:V262"/>
    <mergeCell ref="AH262:AI262"/>
    <mergeCell ref="AU262:AV262"/>
    <mergeCell ref="H263:I263"/>
    <mergeCell ref="U263:V263"/>
    <mergeCell ref="AH263:AI263"/>
    <mergeCell ref="AU263:AV263"/>
    <mergeCell ref="BC263:BD263"/>
    <mergeCell ref="BE263:BF263"/>
    <mergeCell ref="BJ263:BK263"/>
    <mergeCell ref="H264:I264"/>
    <mergeCell ref="U264:V264"/>
    <mergeCell ref="AH264:AI264"/>
    <mergeCell ref="AU264:AV264"/>
    <mergeCell ref="BJ264:BK264"/>
    <mergeCell ref="H265:I265"/>
    <mergeCell ref="U265:V265"/>
    <mergeCell ref="AH265:AI265"/>
    <mergeCell ref="AU265:AV265"/>
    <mergeCell ref="BH265:BI265"/>
    <mergeCell ref="BJ265:BK265"/>
    <mergeCell ref="H266:I266"/>
    <mergeCell ref="U266:V266"/>
    <mergeCell ref="AH266:AI266"/>
    <mergeCell ref="AU266:AV266"/>
    <mergeCell ref="BH266:BI266"/>
    <mergeCell ref="BJ266:BK266"/>
    <mergeCell ref="H267:I267"/>
    <mergeCell ref="U267:V267"/>
    <mergeCell ref="AU267:AV267"/>
    <mergeCell ref="BH267:BI267"/>
    <mergeCell ref="H268:I268"/>
    <mergeCell ref="U268:V268"/>
    <mergeCell ref="AH268:AI268"/>
    <mergeCell ref="AU268:AV268"/>
    <mergeCell ref="BH268:BI268"/>
    <mergeCell ref="H269:I269"/>
    <mergeCell ref="AH269:AI269"/>
    <mergeCell ref="AU269:AV269"/>
    <mergeCell ref="BH269:BI269"/>
    <mergeCell ref="H270:I270"/>
    <mergeCell ref="AU270:AV270"/>
    <mergeCell ref="BH270:BI270"/>
    <mergeCell ref="H271:I271"/>
    <mergeCell ref="BH271:BI271"/>
    <mergeCell ref="H272:I272"/>
    <mergeCell ref="BH272:BI272"/>
    <mergeCell ref="H273:I273"/>
    <mergeCell ref="P273:Q273"/>
    <mergeCell ref="R273:S273"/>
    <mergeCell ref="W273:X273"/>
    <mergeCell ref="BH273:BI273"/>
    <mergeCell ref="H274:I274"/>
    <mergeCell ref="W274:X274"/>
    <mergeCell ref="BH274:BI274"/>
    <mergeCell ref="H275:I275"/>
    <mergeCell ref="U275:V275"/>
    <mergeCell ref="W275:X275"/>
    <mergeCell ref="AC275:AD275"/>
    <mergeCell ref="AE275:AF275"/>
    <mergeCell ref="AJ275:AK275"/>
    <mergeCell ref="AP275:AQ275"/>
    <mergeCell ref="AR275:AS275"/>
    <mergeCell ref="AW275:AX275"/>
    <mergeCell ref="BH275:BI275"/>
    <mergeCell ref="H276:I276"/>
    <mergeCell ref="U276:V276"/>
    <mergeCell ref="W276:X276"/>
    <mergeCell ref="AJ276:AK276"/>
    <mergeCell ref="AW276:AX276"/>
    <mergeCell ref="BH276:BI276"/>
    <mergeCell ref="H277:I277"/>
    <mergeCell ref="U277:V277"/>
    <mergeCell ref="AH277:AI277"/>
    <mergeCell ref="AJ277:AK277"/>
    <mergeCell ref="AU277:AV277"/>
    <mergeCell ref="AW277:AX277"/>
    <mergeCell ref="BH277:BI277"/>
    <mergeCell ref="H278:I278"/>
    <mergeCell ref="U278:V278"/>
    <mergeCell ref="AH278:AI278"/>
    <mergeCell ref="AJ278:AK278"/>
    <mergeCell ref="AU278:AV278"/>
    <mergeCell ref="AW278:AX278"/>
    <mergeCell ref="BH278:BI278"/>
    <mergeCell ref="H279:I279"/>
    <mergeCell ref="U279:V279"/>
    <mergeCell ref="AH279:AI279"/>
    <mergeCell ref="AU279:AV279"/>
    <mergeCell ref="BH279:BI279"/>
    <mergeCell ref="H280:I280"/>
    <mergeCell ref="U280:V280"/>
    <mergeCell ref="AH280:AI280"/>
    <mergeCell ref="AU280:AV280"/>
    <mergeCell ref="BH280:BI280"/>
    <mergeCell ref="H281:I281"/>
    <mergeCell ref="U281:V281"/>
    <mergeCell ref="AH281:AI281"/>
    <mergeCell ref="AU281:AV281"/>
    <mergeCell ref="BH281:BI281"/>
    <mergeCell ref="H282:I282"/>
    <mergeCell ref="U282:V282"/>
    <mergeCell ref="AH282:AI282"/>
    <mergeCell ref="AU282:AV282"/>
    <mergeCell ref="BH282:BI282"/>
    <mergeCell ref="U283:V283"/>
    <mergeCell ref="AH283:AI283"/>
    <mergeCell ref="AU283:AV283"/>
    <mergeCell ref="BH283:BI283"/>
    <mergeCell ref="U284:V284"/>
    <mergeCell ref="AH284:AI284"/>
    <mergeCell ref="AU284:AV284"/>
    <mergeCell ref="BH284:BI284"/>
    <mergeCell ref="U285:V285"/>
    <mergeCell ref="AH285:AI285"/>
    <mergeCell ref="AU285:AV285"/>
    <mergeCell ref="BH285:BI285"/>
    <mergeCell ref="U286:V286"/>
    <mergeCell ref="AH286:AI286"/>
    <mergeCell ref="AU286:AV286"/>
    <mergeCell ref="C287:D287"/>
    <mergeCell ref="E287:F287"/>
    <mergeCell ref="J287:K287"/>
    <mergeCell ref="U287:V287"/>
    <mergeCell ref="AH287:AI287"/>
    <mergeCell ref="AU287:AV287"/>
    <mergeCell ref="J288:K288"/>
    <mergeCell ref="U288:V288"/>
    <mergeCell ref="AH288:AI288"/>
    <mergeCell ref="AU288:AV288"/>
    <mergeCell ref="H289:I289"/>
    <mergeCell ref="J289:K289"/>
    <mergeCell ref="U289:V289"/>
    <mergeCell ref="AH289:AI289"/>
    <mergeCell ref="AU289:AV289"/>
    <mergeCell ref="H290:I290"/>
    <mergeCell ref="J290:K290"/>
    <mergeCell ref="U290:V290"/>
    <mergeCell ref="AH290:AI290"/>
    <mergeCell ref="AU290:AV290"/>
    <mergeCell ref="H291:I291"/>
    <mergeCell ref="U291:V291"/>
    <mergeCell ref="AH291:AI291"/>
    <mergeCell ref="AU291:AV291"/>
    <mergeCell ref="BC291:BD291"/>
    <mergeCell ref="BE291:BF291"/>
    <mergeCell ref="BJ291:BK291"/>
    <mergeCell ref="H292:I292"/>
    <mergeCell ref="U292:V292"/>
    <mergeCell ref="AH292:AI292"/>
    <mergeCell ref="AU292:AV292"/>
    <mergeCell ref="BJ292:BK292"/>
    <mergeCell ref="H293:I293"/>
    <mergeCell ref="U293:V293"/>
    <mergeCell ref="AH293:AI293"/>
    <mergeCell ref="AU293:AV293"/>
    <mergeCell ref="BH293:BI293"/>
    <mergeCell ref="BJ293:BK293"/>
    <mergeCell ref="H294:I294"/>
    <mergeCell ref="U294:V294"/>
    <mergeCell ref="AU294:AV294"/>
    <mergeCell ref="BH294:BI294"/>
    <mergeCell ref="BJ294:BK294"/>
    <mergeCell ref="H295:I295"/>
    <mergeCell ref="U295:V295"/>
    <mergeCell ref="AH295:AI295"/>
    <mergeCell ref="AU295:AV295"/>
    <mergeCell ref="BH295:BI295"/>
    <mergeCell ref="H296:I296"/>
    <mergeCell ref="U296:V296"/>
    <mergeCell ref="AH296:AI296"/>
    <mergeCell ref="AU296:AV296"/>
    <mergeCell ref="BH296:BI296"/>
    <mergeCell ref="H297:I297"/>
    <mergeCell ref="U297:V297"/>
    <mergeCell ref="AU297:AV297"/>
    <mergeCell ref="BH297:BI297"/>
    <mergeCell ref="H298:I298"/>
    <mergeCell ref="AU298:AV298"/>
    <mergeCell ref="BH298:BI298"/>
    <mergeCell ref="H299:I299"/>
    <mergeCell ref="AU299:AV299"/>
    <mergeCell ref="BH299:BI299"/>
    <mergeCell ref="H300:I300"/>
    <mergeCell ref="BH300:BI300"/>
    <mergeCell ref="H301:I301"/>
    <mergeCell ref="AC301:AD301"/>
    <mergeCell ref="AE301:AF301"/>
    <mergeCell ref="AJ301:AK301"/>
    <mergeCell ref="BH301:BI301"/>
    <mergeCell ref="H302:I302"/>
    <mergeCell ref="P302:Q302"/>
    <mergeCell ref="R302:S302"/>
    <mergeCell ref="W302:X302"/>
    <mergeCell ref="AJ302:AK302"/>
    <mergeCell ref="BH302:BI302"/>
    <mergeCell ref="H303:I303"/>
    <mergeCell ref="W303:X303"/>
    <mergeCell ref="AH303:AI303"/>
    <mergeCell ref="AJ303:AK303"/>
    <mergeCell ref="BH303:BI303"/>
    <mergeCell ref="H304:I304"/>
    <mergeCell ref="U304:V304"/>
    <mergeCell ref="W304:X304"/>
    <mergeCell ref="AH304:AI304"/>
    <mergeCell ref="AJ304:AK304"/>
    <mergeCell ref="AP304:AQ304"/>
    <mergeCell ref="AR304:AS304"/>
    <mergeCell ref="AW304:AX304"/>
    <mergeCell ref="BH304:BI304"/>
    <mergeCell ref="H305:I305"/>
    <mergeCell ref="U305:V305"/>
    <mergeCell ref="W305:X305"/>
    <mergeCell ref="AH305:AI305"/>
    <mergeCell ref="AW305:AX305"/>
    <mergeCell ref="BH305:BI305"/>
    <mergeCell ref="H306:I306"/>
    <mergeCell ref="U306:V306"/>
    <mergeCell ref="AH306:AI306"/>
    <mergeCell ref="AU306:AV306"/>
    <mergeCell ref="AW306:AX306"/>
    <mergeCell ref="BH306:BI306"/>
    <mergeCell ref="H307:I307"/>
    <mergeCell ref="U307:V307"/>
    <mergeCell ref="AH307:AI307"/>
    <mergeCell ref="AU307:AV307"/>
    <mergeCell ref="AW307:AX307"/>
    <mergeCell ref="BH307:BI307"/>
    <mergeCell ref="H308:I308"/>
    <mergeCell ref="U308:V308"/>
    <mergeCell ref="AH308:AI308"/>
    <mergeCell ref="AU308:AV308"/>
    <mergeCell ref="BH308:BI308"/>
    <mergeCell ref="H309:I309"/>
    <mergeCell ref="U309:V309"/>
    <mergeCell ref="AH309:AI309"/>
    <mergeCell ref="AU309:AV309"/>
    <mergeCell ref="BH309:BI309"/>
    <mergeCell ref="H310:I310"/>
    <mergeCell ref="U310:V310"/>
    <mergeCell ref="AH310:AI310"/>
    <mergeCell ref="AU310:AV310"/>
    <mergeCell ref="BH310:BI310"/>
    <mergeCell ref="H311:I311"/>
    <mergeCell ref="U311:V311"/>
    <mergeCell ref="AH311:AI311"/>
    <mergeCell ref="AU311:AV311"/>
    <mergeCell ref="BH311:BI311"/>
    <mergeCell ref="H312:I312"/>
    <mergeCell ref="U312:V312"/>
    <mergeCell ref="AH312:AI312"/>
    <mergeCell ref="AU312:AV312"/>
    <mergeCell ref="BH312:BI312"/>
    <mergeCell ref="H313:I313"/>
    <mergeCell ref="U313:V313"/>
    <mergeCell ref="AH313:AI313"/>
    <mergeCell ref="AU313:AV313"/>
    <mergeCell ref="BH313:BI313"/>
    <mergeCell ref="U314:V314"/>
    <mergeCell ref="AH314:AI314"/>
    <mergeCell ref="AU314:AV314"/>
    <mergeCell ref="U315:V315"/>
    <mergeCell ref="AH315:AI315"/>
    <mergeCell ref="AU315:AV315"/>
    <mergeCell ref="U316:V316"/>
    <mergeCell ref="AH316:AI316"/>
    <mergeCell ref="AU316:AV316"/>
    <mergeCell ref="U317:V317"/>
    <mergeCell ref="AH317:AI317"/>
    <mergeCell ref="AU317:AV317"/>
    <mergeCell ref="C318:D318"/>
    <mergeCell ref="E318:F318"/>
    <mergeCell ref="J318:K318"/>
    <mergeCell ref="U318:V318"/>
    <mergeCell ref="AH318:AI318"/>
    <mergeCell ref="AU318:AV318"/>
    <mergeCell ref="J319:K319"/>
    <mergeCell ref="U319:V319"/>
    <mergeCell ref="AH319:AI319"/>
    <mergeCell ref="AU319:AV319"/>
    <mergeCell ref="BC319:BD319"/>
    <mergeCell ref="BE319:BF319"/>
    <mergeCell ref="BJ319:BK319"/>
    <mergeCell ref="H320:I320"/>
    <mergeCell ref="J320:K320"/>
    <mergeCell ref="U320:V320"/>
    <mergeCell ref="AH320:AI320"/>
    <mergeCell ref="AU320:AV320"/>
    <mergeCell ref="BJ320:BK320"/>
    <mergeCell ref="H321:I321"/>
    <mergeCell ref="J321:K321"/>
    <mergeCell ref="U321:V321"/>
    <mergeCell ref="AH321:AI321"/>
    <mergeCell ref="AU321:AV321"/>
    <mergeCell ref="BH321:BI321"/>
    <mergeCell ref="BJ321:BK321"/>
    <mergeCell ref="H322:I322"/>
    <mergeCell ref="U322:V322"/>
    <mergeCell ref="AH322:AI322"/>
    <mergeCell ref="AU322:AV322"/>
    <mergeCell ref="BH322:BI322"/>
    <mergeCell ref="BJ322:BK322"/>
    <mergeCell ref="H323:I323"/>
    <mergeCell ref="U323:V323"/>
    <mergeCell ref="AH323:AI323"/>
    <mergeCell ref="AU323:AV323"/>
    <mergeCell ref="BH323:BI323"/>
    <mergeCell ref="H324:I324"/>
    <mergeCell ref="U324:V324"/>
    <mergeCell ref="AH324:AI324"/>
    <mergeCell ref="AU324:AV324"/>
    <mergeCell ref="BH324:BI324"/>
    <mergeCell ref="H325:I325"/>
    <mergeCell ref="U325:V325"/>
    <mergeCell ref="AU325:AV325"/>
    <mergeCell ref="BH325:BI325"/>
    <mergeCell ref="H326:I326"/>
    <mergeCell ref="U326:V326"/>
    <mergeCell ref="AH326:AI326"/>
    <mergeCell ref="AU326:AV326"/>
    <mergeCell ref="BH326:BI326"/>
    <mergeCell ref="H327:I327"/>
    <mergeCell ref="AH327:AI327"/>
    <mergeCell ref="AU327:AV327"/>
    <mergeCell ref="BH327:BI327"/>
    <mergeCell ref="H328:I328"/>
    <mergeCell ref="AU328:AV328"/>
    <mergeCell ref="BH328:BI328"/>
    <mergeCell ref="H329:I329"/>
    <mergeCell ref="AU329:AV329"/>
    <mergeCell ref="BH329:BI329"/>
    <mergeCell ref="H330:I330"/>
    <mergeCell ref="AU330:AV330"/>
    <mergeCell ref="BH330:BI330"/>
    <mergeCell ref="H331:I331"/>
    <mergeCell ref="P331:Q331"/>
    <mergeCell ref="R331:S331"/>
    <mergeCell ref="W331:X331"/>
    <mergeCell ref="AU331:AV331"/>
    <mergeCell ref="BH331:BI331"/>
    <mergeCell ref="H332:I332"/>
    <mergeCell ref="W332:X332"/>
    <mergeCell ref="AC332:AD332"/>
    <mergeCell ref="AE332:AF332"/>
    <mergeCell ref="AJ332:AK332"/>
    <mergeCell ref="AU332:AV332"/>
    <mergeCell ref="BH332:BI332"/>
    <mergeCell ref="H333:I333"/>
    <mergeCell ref="U333:V333"/>
    <mergeCell ref="W333:X333"/>
    <mergeCell ref="AJ333:AK333"/>
    <mergeCell ref="BH333:BI333"/>
    <mergeCell ref="H334:I334"/>
    <mergeCell ref="U334:V334"/>
    <mergeCell ref="W334:X334"/>
    <mergeCell ref="AH334:AI334"/>
    <mergeCell ref="AJ334:AK334"/>
    <mergeCell ref="BH334:BI334"/>
    <mergeCell ref="H335:I335"/>
    <mergeCell ref="U335:V335"/>
    <mergeCell ref="AH335:AI335"/>
    <mergeCell ref="AJ335:AK335"/>
    <mergeCell ref="BH335:BI335"/>
    <mergeCell ref="H336:I336"/>
    <mergeCell ref="U336:V336"/>
    <mergeCell ref="AH336:AI336"/>
    <mergeCell ref="BH336:BI336"/>
    <mergeCell ref="H337:I337"/>
    <mergeCell ref="U337:V337"/>
    <mergeCell ref="AH337:AI337"/>
    <mergeCell ref="AP337:AQ337"/>
    <mergeCell ref="AR337:AS337"/>
    <mergeCell ref="AW337:AX337"/>
    <mergeCell ref="BH337:BI337"/>
    <mergeCell ref="H338:I338"/>
    <mergeCell ref="U338:V338"/>
    <mergeCell ref="AH338:AI338"/>
    <mergeCell ref="AW338:AX338"/>
    <mergeCell ref="BH338:BI338"/>
    <mergeCell ref="H339:I339"/>
    <mergeCell ref="U339:V339"/>
    <mergeCell ref="AH339:AI339"/>
    <mergeCell ref="AU339:AV339"/>
    <mergeCell ref="AW339:AX339"/>
    <mergeCell ref="BH339:BI339"/>
    <mergeCell ref="H340:I340"/>
    <mergeCell ref="U340:V340"/>
    <mergeCell ref="AH340:AI340"/>
    <mergeCell ref="AU340:AV340"/>
    <mergeCell ref="AW340:AX340"/>
    <mergeCell ref="BH340:BI340"/>
    <mergeCell ref="H341:I341"/>
    <mergeCell ref="U341:V341"/>
    <mergeCell ref="AH341:AI341"/>
    <mergeCell ref="AU341:AV341"/>
    <mergeCell ref="BH341:BI341"/>
    <mergeCell ref="H342:I342"/>
    <mergeCell ref="U342:V342"/>
    <mergeCell ref="AH342:AI342"/>
    <mergeCell ref="AU342:AV342"/>
    <mergeCell ref="U343:V343"/>
    <mergeCell ref="AH343:AI343"/>
    <mergeCell ref="AU343:AV343"/>
    <mergeCell ref="H344:I344"/>
    <mergeCell ref="U344:V344"/>
    <mergeCell ref="AH344:AI344"/>
    <mergeCell ref="AU344:AV344"/>
    <mergeCell ref="H345:I345"/>
    <mergeCell ref="U345:V345"/>
    <mergeCell ref="AH345:AI345"/>
    <mergeCell ref="AU345:AV345"/>
    <mergeCell ref="H346:I346"/>
    <mergeCell ref="U346:V346"/>
    <mergeCell ref="AH346:AI346"/>
    <mergeCell ref="AU346:AV346"/>
    <mergeCell ref="H347:I347"/>
    <mergeCell ref="U347:V347"/>
    <mergeCell ref="AH347:AI347"/>
    <mergeCell ref="AU347:AV347"/>
    <mergeCell ref="BC347:BD347"/>
    <mergeCell ref="BE347:BF347"/>
    <mergeCell ref="BJ347:BK347"/>
    <mergeCell ref="U348:V348"/>
    <mergeCell ref="AH348:AI348"/>
    <mergeCell ref="AU348:AV348"/>
    <mergeCell ref="BJ348:BK348"/>
    <mergeCell ref="U349:V349"/>
    <mergeCell ref="AH349:AI349"/>
    <mergeCell ref="AU349:AV349"/>
    <mergeCell ref="BH349:BI349"/>
    <mergeCell ref="BJ349:BK349"/>
    <mergeCell ref="U350:V350"/>
    <mergeCell ref="AH350:AI350"/>
    <mergeCell ref="AU350:AV350"/>
    <mergeCell ref="BH350:BI350"/>
    <mergeCell ref="BJ350:BK350"/>
    <mergeCell ref="U351:V351"/>
    <mergeCell ref="AH351:AI351"/>
    <mergeCell ref="AU351:AV351"/>
    <mergeCell ref="BH351:BI351"/>
    <mergeCell ref="C352:D352"/>
    <mergeCell ref="E352:F352"/>
    <mergeCell ref="J352:K352"/>
    <mergeCell ref="U352:V352"/>
    <mergeCell ref="AH352:AI352"/>
    <mergeCell ref="AU352:AV352"/>
    <mergeCell ref="BH352:BI352"/>
    <mergeCell ref="J353:K353"/>
    <mergeCell ref="U353:V353"/>
    <mergeCell ref="AH353:AI353"/>
    <mergeCell ref="AU353:AV353"/>
    <mergeCell ref="BH353:BI353"/>
    <mergeCell ref="H354:I354"/>
    <mergeCell ref="J354:K354"/>
    <mergeCell ref="AH354:AI354"/>
    <mergeCell ref="AU354:AV354"/>
    <mergeCell ref="BH354:BI354"/>
    <mergeCell ref="H355:I355"/>
    <mergeCell ref="J355:K355"/>
    <mergeCell ref="AU355:AV355"/>
    <mergeCell ref="BH355:BI355"/>
    <mergeCell ref="H356:I356"/>
    <mergeCell ref="AU356:AV356"/>
    <mergeCell ref="BH356:BI356"/>
    <mergeCell ref="H357:I357"/>
    <mergeCell ref="AU357:AV357"/>
    <mergeCell ref="BH357:BI357"/>
    <mergeCell ref="H358:I358"/>
    <mergeCell ref="P358:Q358"/>
    <mergeCell ref="R358:S358"/>
    <mergeCell ref="W358:X358"/>
    <mergeCell ref="AU358:AV358"/>
    <mergeCell ref="BH358:BI358"/>
    <mergeCell ref="H359:I359"/>
    <mergeCell ref="W359:X359"/>
    <mergeCell ref="AC359:AD359"/>
    <mergeCell ref="AE359:AF359"/>
    <mergeCell ref="AJ359:AK359"/>
    <mergeCell ref="AU359:AV359"/>
    <mergeCell ref="BH359:BI359"/>
    <mergeCell ref="H360:I360"/>
    <mergeCell ref="U360:V360"/>
    <mergeCell ref="W360:X360"/>
    <mergeCell ref="AJ360:AK360"/>
    <mergeCell ref="AU360:AV360"/>
    <mergeCell ref="BH360:BI360"/>
    <mergeCell ref="H361:I361"/>
    <mergeCell ref="U361:V361"/>
    <mergeCell ref="W361:X361"/>
    <mergeCell ref="AH361:AI361"/>
    <mergeCell ref="AJ361:AK361"/>
    <mergeCell ref="AU361:AV361"/>
    <mergeCell ref="BH361:BI361"/>
    <mergeCell ref="H362:I362"/>
    <mergeCell ref="U362:V362"/>
    <mergeCell ref="AH362:AI362"/>
    <mergeCell ref="AJ362:AK362"/>
    <mergeCell ref="BH362:BI362"/>
    <mergeCell ref="H363:I363"/>
    <mergeCell ref="U363:V363"/>
    <mergeCell ref="AH363:AI363"/>
    <mergeCell ref="BH363:BI363"/>
    <mergeCell ref="H364:I364"/>
    <mergeCell ref="U364:V364"/>
    <mergeCell ref="AH364:AI364"/>
    <mergeCell ref="BH364:BI364"/>
    <mergeCell ref="H365:I365"/>
    <mergeCell ref="U365:V365"/>
    <mergeCell ref="AH365:AI365"/>
    <mergeCell ref="BH365:BI365"/>
    <mergeCell ref="H366:I366"/>
    <mergeCell ref="U366:V366"/>
    <mergeCell ref="AH366:AI366"/>
    <mergeCell ref="AP366:AQ366"/>
    <mergeCell ref="AR366:AS366"/>
    <mergeCell ref="AW366:AX366"/>
    <mergeCell ref="BH366:BI366"/>
    <mergeCell ref="H367:I367"/>
    <mergeCell ref="U367:V367"/>
    <mergeCell ref="AH367:AI367"/>
    <mergeCell ref="AW367:AX367"/>
    <mergeCell ref="BH367:BI367"/>
    <mergeCell ref="H368:I368"/>
    <mergeCell ref="U368:V368"/>
    <mergeCell ref="AH368:AI368"/>
    <mergeCell ref="AU368:AV368"/>
    <mergeCell ref="AW368:AX368"/>
    <mergeCell ref="BH368:BI368"/>
    <mergeCell ref="H369:I369"/>
    <mergeCell ref="U369:V369"/>
    <mergeCell ref="AH369:AI369"/>
    <mergeCell ref="AU369:AV369"/>
    <mergeCell ref="AW369:AX369"/>
    <mergeCell ref="BH369:BI369"/>
    <mergeCell ref="H370:I370"/>
    <mergeCell ref="U370:V370"/>
    <mergeCell ref="AH370:AI370"/>
    <mergeCell ref="AU370:AV370"/>
    <mergeCell ref="H371:I371"/>
    <mergeCell ref="U371:V371"/>
    <mergeCell ref="AH371:AI371"/>
    <mergeCell ref="AU371:AV371"/>
    <mergeCell ref="H372:I372"/>
    <mergeCell ref="U372:V372"/>
    <mergeCell ref="AH372:AI372"/>
    <mergeCell ref="AU372:AV372"/>
    <mergeCell ref="H373:I373"/>
    <mergeCell ref="U373:V373"/>
    <mergeCell ref="AH373:AI373"/>
    <mergeCell ref="AU373:AV373"/>
    <mergeCell ref="H374:I374"/>
    <mergeCell ref="U374:V374"/>
    <mergeCell ref="AH374:AI374"/>
    <mergeCell ref="AU374:AV374"/>
    <mergeCell ref="BC374:BD374"/>
    <mergeCell ref="BE374:BF374"/>
    <mergeCell ref="BJ374:BK374"/>
    <mergeCell ref="H375:I375"/>
    <mergeCell ref="U375:V375"/>
    <mergeCell ref="AH375:AI375"/>
    <mergeCell ref="AU375:AV375"/>
    <mergeCell ref="BJ375:BK375"/>
    <mergeCell ref="H376:I376"/>
    <mergeCell ref="U376:V376"/>
    <mergeCell ref="AH376:AI376"/>
    <mergeCell ref="AU376:AV376"/>
    <mergeCell ref="BH376:BI376"/>
    <mergeCell ref="BJ376:BK376"/>
    <mergeCell ref="U377:V377"/>
    <mergeCell ref="AH377:AI377"/>
    <mergeCell ref="AU377:AV377"/>
    <mergeCell ref="BH377:BI377"/>
    <mergeCell ref="BJ377:BK377"/>
    <mergeCell ref="H378:I378"/>
    <mergeCell ref="U378:V378"/>
    <mergeCell ref="AH378:AI378"/>
    <mergeCell ref="AU378:AV378"/>
    <mergeCell ref="BH378:BI378"/>
    <mergeCell ref="H379:I379"/>
    <mergeCell ref="AH379:AI379"/>
    <mergeCell ref="AU379:AV379"/>
    <mergeCell ref="BH379:BI379"/>
    <mergeCell ref="AH380:AI380"/>
    <mergeCell ref="AU380:AV380"/>
    <mergeCell ref="BH380:BI380"/>
    <mergeCell ref="AH381:AI381"/>
    <mergeCell ref="AU381:AV381"/>
    <mergeCell ref="BH381:BI381"/>
    <mergeCell ref="AH382:AI382"/>
    <mergeCell ref="AU382:AV382"/>
    <mergeCell ref="BH382:BI382"/>
    <mergeCell ref="P383:Q383"/>
    <mergeCell ref="R383:S383"/>
    <mergeCell ref="W383:X383"/>
    <mergeCell ref="AH383:AI383"/>
    <mergeCell ref="AU383:AV383"/>
    <mergeCell ref="BH383:BI383"/>
    <mergeCell ref="C384:D384"/>
    <mergeCell ref="E384:F384"/>
    <mergeCell ref="J384:K384"/>
    <mergeCell ref="W384:X384"/>
    <mergeCell ref="AH384:AI384"/>
    <mergeCell ref="AU384:AV384"/>
    <mergeCell ref="BH384:BI384"/>
    <mergeCell ref="J385:K385"/>
    <mergeCell ref="U385:V385"/>
    <mergeCell ref="W385:X385"/>
    <mergeCell ref="AH385:AI385"/>
    <mergeCell ref="AU385:AV385"/>
    <mergeCell ref="BH385:BI385"/>
    <mergeCell ref="H386:I386"/>
    <mergeCell ref="J386:K386"/>
    <mergeCell ref="U386:V386"/>
    <mergeCell ref="W386:X386"/>
    <mergeCell ref="AH386:AI386"/>
    <mergeCell ref="AU386:AV386"/>
    <mergeCell ref="BH386:BI386"/>
    <mergeCell ref="H387:I387"/>
    <mergeCell ref="J387:K387"/>
    <mergeCell ref="U387:V387"/>
    <mergeCell ref="AH387:AI387"/>
    <mergeCell ref="AU387:AV387"/>
    <mergeCell ref="BH387:BI387"/>
    <mergeCell ref="H388:I388"/>
    <mergeCell ref="U388:V388"/>
    <mergeCell ref="AH388:AI388"/>
    <mergeCell ref="AU388:AV388"/>
    <mergeCell ref="BH388:BI388"/>
    <mergeCell ref="H389:I389"/>
    <mergeCell ref="U389:V389"/>
    <mergeCell ref="AH389:AI389"/>
    <mergeCell ref="AU389:AV389"/>
    <mergeCell ref="BH389:BI389"/>
    <mergeCell ref="H390:I390"/>
    <mergeCell ref="U390:V390"/>
    <mergeCell ref="AH390:AI390"/>
    <mergeCell ref="AU390:AV390"/>
    <mergeCell ref="BH390:BI390"/>
    <mergeCell ref="H391:I391"/>
    <mergeCell ref="U391:V391"/>
    <mergeCell ref="BH391:BI391"/>
    <mergeCell ref="H392:I392"/>
    <mergeCell ref="U392:V392"/>
    <mergeCell ref="BH392:BI392"/>
    <mergeCell ref="H393:I393"/>
    <mergeCell ref="U393:V393"/>
    <mergeCell ref="BH393:BI393"/>
    <mergeCell ref="H394:I394"/>
    <mergeCell ref="U394:V394"/>
    <mergeCell ref="BH394:BI394"/>
    <mergeCell ref="H395:I395"/>
    <mergeCell ref="U395:V395"/>
    <mergeCell ref="AC395:AD395"/>
    <mergeCell ref="AE395:AF395"/>
    <mergeCell ref="AJ395:AK395"/>
    <mergeCell ref="BH395:BI395"/>
    <mergeCell ref="H396:I396"/>
    <mergeCell ref="U396:V396"/>
    <mergeCell ref="AJ396:AK396"/>
    <mergeCell ref="BH396:BI396"/>
    <mergeCell ref="H397:I397"/>
    <mergeCell ref="U397:V397"/>
    <mergeCell ref="AH397:AI397"/>
    <mergeCell ref="AJ397:AK397"/>
    <mergeCell ref="AP397:AQ397"/>
    <mergeCell ref="AR397:AS397"/>
    <mergeCell ref="AW397:AX397"/>
    <mergeCell ref="H398:I398"/>
    <mergeCell ref="U398:V398"/>
    <mergeCell ref="AH398:AI398"/>
    <mergeCell ref="AJ398:AK398"/>
    <mergeCell ref="AW398:AX398"/>
    <mergeCell ref="H399:I399"/>
    <mergeCell ref="U399:V399"/>
    <mergeCell ref="AH399:AI399"/>
    <mergeCell ref="AU399:AV399"/>
    <mergeCell ref="AW399:AX399"/>
    <mergeCell ref="H400:I400"/>
    <mergeCell ref="U400:V400"/>
    <mergeCell ref="AH400:AI400"/>
    <mergeCell ref="AU400:AV400"/>
    <mergeCell ref="AW400:AX400"/>
    <mergeCell ref="H401:I401"/>
    <mergeCell ref="U401:V401"/>
    <mergeCell ref="AH401:AI401"/>
    <mergeCell ref="AU401:AV401"/>
    <mergeCell ref="BC401:BD401"/>
    <mergeCell ref="BE401:BF401"/>
    <mergeCell ref="BJ401:BK401"/>
    <mergeCell ref="H402:I402"/>
    <mergeCell ref="U402:V402"/>
    <mergeCell ref="AH402:AI402"/>
    <mergeCell ref="AU402:AV402"/>
    <mergeCell ref="BJ402:BK402"/>
    <mergeCell ref="H403:I403"/>
    <mergeCell ref="U403:V403"/>
    <mergeCell ref="AH403:AI403"/>
    <mergeCell ref="AU403:AV403"/>
    <mergeCell ref="BH403:BI403"/>
    <mergeCell ref="BJ403:BK403"/>
    <mergeCell ref="H404:I404"/>
    <mergeCell ref="U404:V404"/>
    <mergeCell ref="AH404:AI404"/>
    <mergeCell ref="AU404:AV404"/>
    <mergeCell ref="BH404:BI404"/>
    <mergeCell ref="BJ404:BK404"/>
    <mergeCell ref="H405:I405"/>
    <mergeCell ref="U405:V405"/>
    <mergeCell ref="AH405:AI405"/>
    <mergeCell ref="AU405:AV405"/>
    <mergeCell ref="BH405:BI405"/>
    <mergeCell ref="H406:I406"/>
    <mergeCell ref="U406:V406"/>
    <mergeCell ref="AH406:AI406"/>
    <mergeCell ref="AU406:AV406"/>
    <mergeCell ref="BH406:BI406"/>
    <mergeCell ref="H407:I407"/>
    <mergeCell ref="U407:V407"/>
    <mergeCell ref="AH407:AI407"/>
    <mergeCell ref="AU407:AV407"/>
    <mergeCell ref="BH407:BI407"/>
    <mergeCell ref="H408:I408"/>
    <mergeCell ref="U408:V408"/>
    <mergeCell ref="AH408:AI408"/>
    <mergeCell ref="AU408:AV408"/>
    <mergeCell ref="BH408:BI408"/>
    <mergeCell ref="U409:V409"/>
    <mergeCell ref="AH409:AI409"/>
    <mergeCell ref="AU409:AV409"/>
    <mergeCell ref="BH409:BI409"/>
    <mergeCell ref="H410:I410"/>
    <mergeCell ref="U410:V410"/>
    <mergeCell ref="AH410:AI410"/>
    <mergeCell ref="AU410:AV410"/>
    <mergeCell ref="BH410:BI410"/>
    <mergeCell ref="H411:I411"/>
    <mergeCell ref="AH411:AI411"/>
    <mergeCell ref="AU411:AV411"/>
    <mergeCell ref="BH411:BI411"/>
    <mergeCell ref="AH412:AI412"/>
    <mergeCell ref="AU412:AV412"/>
    <mergeCell ref="BH412:BI412"/>
    <mergeCell ref="AH413:AI413"/>
    <mergeCell ref="AU413:AV413"/>
    <mergeCell ref="BH413:BI413"/>
    <mergeCell ref="AH414:AI414"/>
    <mergeCell ref="AU414:AV414"/>
    <mergeCell ref="BH414:BI414"/>
    <mergeCell ref="P415:Q415"/>
    <mergeCell ref="R415:S415"/>
    <mergeCell ref="W415:X415"/>
    <mergeCell ref="AH415:AI415"/>
    <mergeCell ref="AU415:AV415"/>
    <mergeCell ref="BH415:BI415"/>
    <mergeCell ref="C416:D416"/>
    <mergeCell ref="E416:F416"/>
    <mergeCell ref="J416:K416"/>
    <mergeCell ref="W416:X416"/>
    <mergeCell ref="AU416:AV416"/>
    <mergeCell ref="BH416:BI416"/>
    <mergeCell ref="J417:K417"/>
    <mergeCell ref="U417:V417"/>
    <mergeCell ref="W417:X417"/>
    <mergeCell ref="AU417:AV417"/>
    <mergeCell ref="BH417:BI417"/>
    <mergeCell ref="H418:I418"/>
    <mergeCell ref="J418:K418"/>
    <mergeCell ref="U418:V418"/>
    <mergeCell ref="W418:X418"/>
    <mergeCell ref="AU418:AV418"/>
    <mergeCell ref="BH418:BI418"/>
    <mergeCell ref="H419:I419"/>
    <mergeCell ref="J419:K419"/>
    <mergeCell ref="U419:V419"/>
    <mergeCell ref="AU419:AV419"/>
    <mergeCell ref="BH419:BI419"/>
    <mergeCell ref="H420:I420"/>
    <mergeCell ref="U420:V420"/>
    <mergeCell ref="AC420:AD420"/>
    <mergeCell ref="AE420:AF420"/>
    <mergeCell ref="AJ420:AK420"/>
    <mergeCell ref="AU420:AV420"/>
    <mergeCell ref="BH420:BI420"/>
    <mergeCell ref="H421:I421"/>
    <mergeCell ref="U421:V421"/>
    <mergeCell ref="AJ421:AK421"/>
    <mergeCell ref="AU421:AV421"/>
    <mergeCell ref="BH421:BI421"/>
    <mergeCell ref="H422:I422"/>
    <mergeCell ref="U422:V422"/>
    <mergeCell ref="AH422:AI422"/>
    <mergeCell ref="AJ422:AK422"/>
    <mergeCell ref="BH422:BI422"/>
    <mergeCell ref="H423:I423"/>
    <mergeCell ref="U423:V423"/>
    <mergeCell ref="AH423:AI423"/>
    <mergeCell ref="AJ423:AK423"/>
    <mergeCell ref="BH423:BI423"/>
    <mergeCell ref="H424:I424"/>
    <mergeCell ref="U424:V424"/>
    <mergeCell ref="AH424:AI424"/>
    <mergeCell ref="H425:I425"/>
    <mergeCell ref="U425:V425"/>
    <mergeCell ref="AH425:AI425"/>
    <mergeCell ref="H426:I426"/>
    <mergeCell ref="U426:V426"/>
    <mergeCell ref="AH426:AI426"/>
    <mergeCell ref="H427:I427"/>
    <mergeCell ref="U427:V427"/>
    <mergeCell ref="AH427:AI427"/>
    <mergeCell ref="AP427:AQ427"/>
    <mergeCell ref="AR427:AS427"/>
    <mergeCell ref="AW427:AX427"/>
    <mergeCell ref="H428:I428"/>
    <mergeCell ref="U428:V428"/>
    <mergeCell ref="AH428:AI428"/>
    <mergeCell ref="AW428:AX428"/>
    <mergeCell ref="BC428:BD428"/>
    <mergeCell ref="BE428:BF428"/>
    <mergeCell ref="BJ428:BK428"/>
    <mergeCell ref="H429:I429"/>
    <mergeCell ref="U429:V429"/>
    <mergeCell ref="AH429:AI429"/>
    <mergeCell ref="AU429:AV429"/>
    <mergeCell ref="AW429:AX429"/>
    <mergeCell ref="BJ429:BK429"/>
    <mergeCell ref="H430:I430"/>
    <mergeCell ref="U430:V430"/>
    <mergeCell ref="AH430:AI430"/>
    <mergeCell ref="AU430:AV430"/>
    <mergeCell ref="AW430:AX430"/>
    <mergeCell ref="BH430:BI430"/>
    <mergeCell ref="BJ430:BK430"/>
    <mergeCell ref="H431:I431"/>
    <mergeCell ref="U431:V431"/>
    <mergeCell ref="AH431:AI431"/>
    <mergeCell ref="AU431:AV431"/>
    <mergeCell ref="BH431:BI431"/>
    <mergeCell ref="BJ431:BK431"/>
    <mergeCell ref="H432:I432"/>
    <mergeCell ref="U432:V432"/>
    <mergeCell ref="AH432:AI432"/>
    <mergeCell ref="AU432:AV432"/>
    <mergeCell ref="BH432:BI432"/>
    <mergeCell ref="H433:I433"/>
    <mergeCell ref="U433:V433"/>
    <mergeCell ref="AH433:AI433"/>
    <mergeCell ref="AU433:AV433"/>
    <mergeCell ref="BH433:BI433"/>
    <mergeCell ref="H434:I434"/>
    <mergeCell ref="U434:V434"/>
    <mergeCell ref="AH434:AI434"/>
    <mergeCell ref="AU434:AV434"/>
    <mergeCell ref="BH434:BI434"/>
    <mergeCell ref="H435:I435"/>
    <mergeCell ref="U435:V435"/>
    <mergeCell ref="AH435:AI435"/>
    <mergeCell ref="AU435:AV435"/>
    <mergeCell ref="BH435:BI435"/>
    <mergeCell ref="H436:I436"/>
    <mergeCell ref="U436:V436"/>
    <mergeCell ref="AH436:AI436"/>
    <mergeCell ref="AU436:AV436"/>
    <mergeCell ref="BH436:BI436"/>
    <mergeCell ref="H437:I437"/>
    <mergeCell ref="U437:V437"/>
    <mergeCell ref="AH437:AI437"/>
    <mergeCell ref="AU437:AV437"/>
    <mergeCell ref="BH437:BI437"/>
    <mergeCell ref="H438:I438"/>
    <mergeCell ref="U438:V438"/>
    <mergeCell ref="AH438:AI438"/>
    <mergeCell ref="AU438:AV438"/>
    <mergeCell ref="BH438:BI438"/>
    <mergeCell ref="H439:I439"/>
    <mergeCell ref="U439:V439"/>
    <mergeCell ref="AH439:AI439"/>
    <mergeCell ref="AU439:AV439"/>
    <mergeCell ref="BH439:BI439"/>
    <mergeCell ref="H440:I440"/>
    <mergeCell ref="U440:V440"/>
    <mergeCell ref="AH440:AI440"/>
    <mergeCell ref="AU440:AV440"/>
    <mergeCell ref="BH440:BI440"/>
    <mergeCell ref="U441:V441"/>
    <mergeCell ref="AH441:AI441"/>
    <mergeCell ref="AU441:AV441"/>
    <mergeCell ref="BH441:BI441"/>
    <mergeCell ref="H442:I442"/>
    <mergeCell ref="U442:V442"/>
    <mergeCell ref="AH442:AI442"/>
    <mergeCell ref="AU442:AV442"/>
    <mergeCell ref="BH442:BI442"/>
    <mergeCell ref="H443:I443"/>
    <mergeCell ref="U443:V443"/>
    <mergeCell ref="AH443:AI443"/>
    <mergeCell ref="AU443:AV443"/>
    <mergeCell ref="BH443:BI443"/>
    <mergeCell ref="U444:V444"/>
    <mergeCell ref="AH444:AI444"/>
    <mergeCell ref="AU444:AV444"/>
    <mergeCell ref="BH444:BI444"/>
    <mergeCell ref="U445:V445"/>
    <mergeCell ref="AU445:AV445"/>
    <mergeCell ref="BH445:BI445"/>
    <mergeCell ref="U446:V446"/>
    <mergeCell ref="AU446:AV446"/>
    <mergeCell ref="BH446:BI446"/>
    <mergeCell ref="U447:V447"/>
    <mergeCell ref="AU447:AV447"/>
    <mergeCell ref="BH447:BI447"/>
    <mergeCell ref="C448:D448"/>
    <mergeCell ref="E448:F448"/>
    <mergeCell ref="J448:K448"/>
    <mergeCell ref="U448:V448"/>
    <mergeCell ref="AU448:AV448"/>
    <mergeCell ref="BH448:BI448"/>
    <mergeCell ref="J449:K449"/>
    <mergeCell ref="U449:V449"/>
    <mergeCell ref="AC449:AD449"/>
    <mergeCell ref="AE449:AF449"/>
    <mergeCell ref="AJ449:AK449"/>
    <mergeCell ref="BH449:BI449"/>
    <mergeCell ref="H450:I450"/>
    <mergeCell ref="J450:K450"/>
    <mergeCell ref="U450:V450"/>
    <mergeCell ref="AJ450:AK450"/>
    <mergeCell ref="BH450:BI450"/>
    <mergeCell ref="H451:I451"/>
    <mergeCell ref="J451:K451"/>
    <mergeCell ref="U451:V451"/>
    <mergeCell ref="AH451:AI451"/>
    <mergeCell ref="AJ451:AK451"/>
    <mergeCell ref="H452:I452"/>
    <mergeCell ref="AH452:AI452"/>
    <mergeCell ref="AJ452:AK452"/>
    <mergeCell ref="H453:I453"/>
    <mergeCell ref="U453:V453"/>
    <mergeCell ref="AH453:AI453"/>
    <mergeCell ref="AP453:AQ453"/>
    <mergeCell ref="AR453:AS453"/>
    <mergeCell ref="AW453:AX453"/>
    <mergeCell ref="H454:I454"/>
    <mergeCell ref="U454:V454"/>
    <mergeCell ref="AH454:AI454"/>
    <mergeCell ref="AW454:AX454"/>
    <mergeCell ref="H455:I455"/>
    <mergeCell ref="U455:V455"/>
    <mergeCell ref="AH455:AI455"/>
    <mergeCell ref="AU455:AV455"/>
    <mergeCell ref="AW455:AX455"/>
    <mergeCell ref="BC455:BD455"/>
    <mergeCell ref="BE455:BF455"/>
    <mergeCell ref="BJ455:BK455"/>
    <mergeCell ref="H456:I456"/>
    <mergeCell ref="AH456:AI456"/>
    <mergeCell ref="AU456:AV456"/>
    <mergeCell ref="AW456:AX456"/>
    <mergeCell ref="BJ456:BK456"/>
    <mergeCell ref="H457:I457"/>
    <mergeCell ref="AH457:AI457"/>
    <mergeCell ref="AU457:AV457"/>
    <mergeCell ref="BH457:BI457"/>
    <mergeCell ref="BJ457:BK457"/>
    <mergeCell ref="H458:I458"/>
    <mergeCell ref="AH458:AI458"/>
    <mergeCell ref="AU458:AV458"/>
    <mergeCell ref="BH458:BI458"/>
    <mergeCell ref="BJ458:BK458"/>
    <mergeCell ref="H459:I459"/>
    <mergeCell ref="AH459:AI459"/>
    <mergeCell ref="AU459:AV459"/>
    <mergeCell ref="BH459:BI459"/>
    <mergeCell ref="H460:I460"/>
    <mergeCell ref="P460:Q460"/>
    <mergeCell ref="R460:S460"/>
    <mergeCell ref="W460:X460"/>
    <mergeCell ref="AH460:AI460"/>
    <mergeCell ref="AU460:AV460"/>
    <mergeCell ref="BH460:BI460"/>
    <mergeCell ref="H461:I461"/>
    <mergeCell ref="W461:X461"/>
    <mergeCell ref="AH461:AI461"/>
    <mergeCell ref="AU461:AV461"/>
    <mergeCell ref="BH461:BI461"/>
    <mergeCell ref="H462:I462"/>
    <mergeCell ref="U462:V462"/>
    <mergeCell ref="W462:X462"/>
    <mergeCell ref="AH462:AI462"/>
    <mergeCell ref="AU462:AV462"/>
    <mergeCell ref="BH462:BI462"/>
    <mergeCell ref="H463:I463"/>
    <mergeCell ref="U463:V463"/>
    <mergeCell ref="W463:X463"/>
    <mergeCell ref="AH463:AI463"/>
    <mergeCell ref="AU463:AV463"/>
    <mergeCell ref="BH463:BI463"/>
    <mergeCell ref="H464:I464"/>
    <mergeCell ref="U464:V464"/>
    <mergeCell ref="AH464:AI464"/>
    <mergeCell ref="AU464:AV464"/>
    <mergeCell ref="BH464:BI464"/>
    <mergeCell ref="H465:I465"/>
    <mergeCell ref="U465:V465"/>
    <mergeCell ref="AH465:AI465"/>
    <mergeCell ref="AU465:AV465"/>
    <mergeCell ref="BH465:BI465"/>
    <mergeCell ref="H466:I466"/>
    <mergeCell ref="U466:V466"/>
    <mergeCell ref="AH466:AI466"/>
    <mergeCell ref="AU466:AV466"/>
    <mergeCell ref="BH466:BI466"/>
    <mergeCell ref="H467:I467"/>
    <mergeCell ref="U467:V467"/>
    <mergeCell ref="AH467:AI467"/>
    <mergeCell ref="AU467:AV467"/>
    <mergeCell ref="BH467:BI467"/>
    <mergeCell ref="H468:I468"/>
    <mergeCell ref="U468:V468"/>
    <mergeCell ref="AH468:AI468"/>
    <mergeCell ref="AU468:AV468"/>
    <mergeCell ref="BH468:BI468"/>
    <mergeCell ref="H469:I469"/>
    <mergeCell ref="U469:V469"/>
    <mergeCell ref="AH469:AI469"/>
    <mergeCell ref="AU469:AV469"/>
    <mergeCell ref="BH469:BI469"/>
    <mergeCell ref="H470:I470"/>
    <mergeCell ref="U470:V470"/>
    <mergeCell ref="AU470:AV470"/>
    <mergeCell ref="BH470:BI470"/>
    <mergeCell ref="H471:I471"/>
    <mergeCell ref="U471:V471"/>
    <mergeCell ref="AU471:AV471"/>
    <mergeCell ref="BH471:BI471"/>
    <mergeCell ref="H472:I472"/>
    <mergeCell ref="U472:V472"/>
    <mergeCell ref="AU472:AV472"/>
    <mergeCell ref="BH472:BI472"/>
    <mergeCell ref="U473:V473"/>
    <mergeCell ref="AU473:AV473"/>
    <mergeCell ref="BH473:BI473"/>
    <mergeCell ref="H474:I474"/>
    <mergeCell ref="U474:V474"/>
    <mergeCell ref="AC474:AD474"/>
    <mergeCell ref="AE474:AF474"/>
    <mergeCell ref="AJ474:AK474"/>
    <mergeCell ref="AU474:AV474"/>
    <mergeCell ref="BH474:BI474"/>
    <mergeCell ref="H475:I475"/>
    <mergeCell ref="U475:V475"/>
    <mergeCell ref="AJ475:AK475"/>
    <mergeCell ref="BH475:BI475"/>
    <mergeCell ref="U476:V476"/>
    <mergeCell ref="AH476:AI476"/>
    <mergeCell ref="AJ476:AK476"/>
    <mergeCell ref="BH476:BI476"/>
    <mergeCell ref="U477:V477"/>
    <mergeCell ref="AH477:AI477"/>
    <mergeCell ref="AJ477:AK477"/>
    <mergeCell ref="BH477:BI477"/>
    <mergeCell ref="U478:V478"/>
    <mergeCell ref="AH478:AI478"/>
    <mergeCell ref="U479:V479"/>
    <mergeCell ref="AH479:AI479"/>
    <mergeCell ref="AP479:AQ479"/>
    <mergeCell ref="AR479:AS479"/>
    <mergeCell ref="AW479:AX479"/>
    <mergeCell ref="C480:D480"/>
    <mergeCell ref="E480:F480"/>
    <mergeCell ref="J480:K480"/>
    <mergeCell ref="U480:V480"/>
    <mergeCell ref="AH480:AI480"/>
    <mergeCell ref="AW480:AX480"/>
    <mergeCell ref="J481:K481"/>
    <mergeCell ref="U481:V481"/>
    <mergeCell ref="AH481:AI481"/>
    <mergeCell ref="AU481:AV481"/>
    <mergeCell ref="AW481:AX481"/>
    <mergeCell ref="H482:I482"/>
    <mergeCell ref="J482:K482"/>
    <mergeCell ref="U482:V482"/>
    <mergeCell ref="AH482:AI482"/>
    <mergeCell ref="AU482:AV482"/>
    <mergeCell ref="AW482:AX482"/>
    <mergeCell ref="H483:I483"/>
    <mergeCell ref="J483:K483"/>
    <mergeCell ref="U483:V483"/>
    <mergeCell ref="AH483:AI483"/>
    <mergeCell ref="AU483:AV483"/>
    <mergeCell ref="H484:I484"/>
    <mergeCell ref="U484:V484"/>
    <mergeCell ref="AH484:AI484"/>
    <mergeCell ref="AU484:AV484"/>
    <mergeCell ref="BC484:BD484"/>
    <mergeCell ref="BE484:BF484"/>
    <mergeCell ref="BJ484:BK484"/>
    <mergeCell ref="H485:I485"/>
    <mergeCell ref="U485:V485"/>
    <mergeCell ref="AH485:AI485"/>
    <mergeCell ref="AU485:AV485"/>
    <mergeCell ref="BJ485:BK485"/>
    <mergeCell ref="H486:I486"/>
    <mergeCell ref="U486:V486"/>
    <mergeCell ref="AH486:AI486"/>
    <mergeCell ref="AU486:AV486"/>
    <mergeCell ref="BH486:BI486"/>
    <mergeCell ref="BJ486:BK486"/>
    <mergeCell ref="H487:I487"/>
    <mergeCell ref="U487:V487"/>
    <mergeCell ref="AH487:AI487"/>
    <mergeCell ref="AU487:AV487"/>
    <mergeCell ref="BH487:BI487"/>
    <mergeCell ref="BJ487:BK487"/>
    <mergeCell ref="H488:I488"/>
    <mergeCell ref="U488:V488"/>
    <mergeCell ref="AH488:AI488"/>
    <mergeCell ref="AU488:AV488"/>
    <mergeCell ref="BH488:BI488"/>
    <mergeCell ref="H489:I489"/>
    <mergeCell ref="U489:V489"/>
    <mergeCell ref="AH489:AI489"/>
    <mergeCell ref="AU489:AV489"/>
    <mergeCell ref="BH489:BI489"/>
    <mergeCell ref="H490:I490"/>
    <mergeCell ref="U490:V490"/>
    <mergeCell ref="AH490:AI490"/>
    <mergeCell ref="AU490:AV490"/>
    <mergeCell ref="BH490:BI490"/>
    <mergeCell ref="H491:I491"/>
    <mergeCell ref="AH491:AI491"/>
    <mergeCell ref="AU491:AV491"/>
    <mergeCell ref="BH491:BI491"/>
    <mergeCell ref="H492:I492"/>
    <mergeCell ref="AH492:AI492"/>
    <mergeCell ref="AU492:AV492"/>
    <mergeCell ref="BH492:BI492"/>
    <mergeCell ref="H493:I493"/>
    <mergeCell ref="AH493:AI493"/>
    <mergeCell ref="AU493:AV493"/>
    <mergeCell ref="BH493:BI493"/>
    <mergeCell ref="H494:I494"/>
    <mergeCell ref="AU494:AV494"/>
    <mergeCell ref="BH494:BI494"/>
    <mergeCell ref="H495:I495"/>
    <mergeCell ref="AU495:AV495"/>
    <mergeCell ref="BH495:BI495"/>
    <mergeCell ref="H496:I496"/>
    <mergeCell ref="P496:Q496"/>
    <mergeCell ref="R496:S496"/>
    <mergeCell ref="W496:X496"/>
    <mergeCell ref="AU496:AV496"/>
    <mergeCell ref="BH496:BI496"/>
    <mergeCell ref="H497:I497"/>
    <mergeCell ref="W497:X497"/>
    <mergeCell ref="AU497:AV497"/>
    <mergeCell ref="BH497:BI497"/>
    <mergeCell ref="H498:I498"/>
    <mergeCell ref="U498:V498"/>
    <mergeCell ref="W498:X498"/>
    <mergeCell ref="AC498:AD498"/>
    <mergeCell ref="AE498:AF498"/>
    <mergeCell ref="AJ498:AK498"/>
    <mergeCell ref="AU498:AV498"/>
    <mergeCell ref="BH498:BI498"/>
    <mergeCell ref="H499:I499"/>
    <mergeCell ref="U499:V499"/>
    <mergeCell ref="W499:X499"/>
    <mergeCell ref="AJ499:AK499"/>
    <mergeCell ref="AU499:AV499"/>
    <mergeCell ref="BH499:BI499"/>
    <mergeCell ref="H500:I500"/>
    <mergeCell ref="U500:V500"/>
    <mergeCell ref="AH500:AI500"/>
    <mergeCell ref="AJ500:AK500"/>
    <mergeCell ref="AU500:AV500"/>
    <mergeCell ref="BH500:BI500"/>
    <mergeCell ref="H501:I501"/>
    <mergeCell ref="U501:V501"/>
    <mergeCell ref="AH501:AI501"/>
    <mergeCell ref="AJ501:AK501"/>
    <mergeCell ref="AU501:AV501"/>
    <mergeCell ref="BH501:BI501"/>
    <mergeCell ref="H502:I502"/>
    <mergeCell ref="U502:V502"/>
    <mergeCell ref="AH502:AI502"/>
    <mergeCell ref="BH502:BI502"/>
    <mergeCell ref="H503:I503"/>
    <mergeCell ref="U503:V503"/>
    <mergeCell ref="AH503:AI503"/>
    <mergeCell ref="BH503:BI503"/>
    <mergeCell ref="H504:I504"/>
    <mergeCell ref="U504:V504"/>
    <mergeCell ref="AH504:AI504"/>
    <mergeCell ref="BH504:BI504"/>
    <mergeCell ref="U505:V505"/>
    <mergeCell ref="AH505:AI505"/>
    <mergeCell ref="BH505:BI505"/>
    <mergeCell ref="H506:I506"/>
    <mergeCell ref="U506:V506"/>
    <mergeCell ref="AH506:AI506"/>
    <mergeCell ref="AP506:AQ506"/>
    <mergeCell ref="AR506:AS506"/>
    <mergeCell ref="AW506:AX506"/>
    <mergeCell ref="BH506:BI506"/>
    <mergeCell ref="H507:I507"/>
    <mergeCell ref="U507:V507"/>
    <mergeCell ref="AH507:AI507"/>
    <mergeCell ref="AW507:AX507"/>
    <mergeCell ref="U508:V508"/>
    <mergeCell ref="AH508:AI508"/>
    <mergeCell ref="AU508:AV508"/>
    <mergeCell ref="AW508:AX508"/>
    <mergeCell ref="U509:V509"/>
    <mergeCell ref="AH509:AI509"/>
    <mergeCell ref="AU509:AV509"/>
    <mergeCell ref="AW509:AX509"/>
    <mergeCell ref="U510:V510"/>
    <mergeCell ref="AH510:AI510"/>
    <mergeCell ref="AU510:AV510"/>
    <mergeCell ref="U511:V511"/>
    <mergeCell ref="AH511:AI511"/>
    <mergeCell ref="AU511:AV511"/>
    <mergeCell ref="C512:D512"/>
    <mergeCell ref="E512:F512"/>
    <mergeCell ref="J512:K512"/>
    <mergeCell ref="U512:V512"/>
    <mergeCell ref="AH512:AI512"/>
    <mergeCell ref="AU512:AV512"/>
    <mergeCell ref="J513:K513"/>
    <mergeCell ref="U513:V513"/>
    <mergeCell ref="AH513:AI513"/>
    <mergeCell ref="AU513:AV513"/>
    <mergeCell ref="BC513:BD513"/>
    <mergeCell ref="BE513:BF513"/>
    <mergeCell ref="BJ513:BK513"/>
    <mergeCell ref="H514:I514"/>
    <mergeCell ref="J514:K514"/>
    <mergeCell ref="U514:V514"/>
    <mergeCell ref="AH514:AI514"/>
    <mergeCell ref="AU514:AV514"/>
    <mergeCell ref="BJ514:BK514"/>
    <mergeCell ref="H515:I515"/>
    <mergeCell ref="J515:K515"/>
    <mergeCell ref="U515:V515"/>
    <mergeCell ref="AH515:AI515"/>
    <mergeCell ref="AU515:AV515"/>
    <mergeCell ref="BH515:BI515"/>
    <mergeCell ref="BJ515:BK515"/>
    <mergeCell ref="H516:I516"/>
    <mergeCell ref="U516:V516"/>
    <mergeCell ref="AH516:AI516"/>
    <mergeCell ref="AU516:AV516"/>
    <mergeCell ref="BH516:BI516"/>
    <mergeCell ref="BJ516:BK516"/>
    <mergeCell ref="H517:I517"/>
    <mergeCell ref="U517:V517"/>
    <mergeCell ref="AH517:AI517"/>
    <mergeCell ref="AU517:AV517"/>
    <mergeCell ref="BH517:BI517"/>
    <mergeCell ref="H518:I518"/>
    <mergeCell ref="U518:V518"/>
    <mergeCell ref="AH518:AI518"/>
    <mergeCell ref="AU518:AV518"/>
    <mergeCell ref="BH518:BI518"/>
    <mergeCell ref="H519:I519"/>
    <mergeCell ref="AH519:AI519"/>
    <mergeCell ref="AU519:AV519"/>
    <mergeCell ref="BH519:BI519"/>
    <mergeCell ref="H520:I520"/>
    <mergeCell ref="AU520:AV520"/>
    <mergeCell ref="BH520:BI520"/>
    <mergeCell ref="H521:I521"/>
    <mergeCell ref="AU521:AV521"/>
    <mergeCell ref="BH521:BI521"/>
    <mergeCell ref="H522:I522"/>
    <mergeCell ref="AU522:AV522"/>
    <mergeCell ref="BH522:BI522"/>
    <mergeCell ref="H523:I523"/>
    <mergeCell ref="P523:Q523"/>
    <mergeCell ref="R523:S523"/>
    <mergeCell ref="W523:X523"/>
    <mergeCell ref="AU523:AV523"/>
    <mergeCell ref="BH523:BI523"/>
    <mergeCell ref="H524:I524"/>
    <mergeCell ref="W524:X524"/>
    <mergeCell ref="AC524:AD524"/>
    <mergeCell ref="AE524:AF524"/>
    <mergeCell ref="AJ524:AK524"/>
    <mergeCell ref="AU524:AV524"/>
    <mergeCell ref="BH524:BI524"/>
    <mergeCell ref="H525:I525"/>
    <mergeCell ref="U525:V525"/>
    <mergeCell ref="W525:X525"/>
    <mergeCell ref="AJ525:AK525"/>
    <mergeCell ref="AU525:AV525"/>
    <mergeCell ref="BH525:BI525"/>
    <mergeCell ref="H526:I526"/>
    <mergeCell ref="U526:V526"/>
    <mergeCell ref="W526:X526"/>
    <mergeCell ref="AH526:AI526"/>
    <mergeCell ref="AJ526:AK526"/>
    <mergeCell ref="AU526:AV526"/>
    <mergeCell ref="BH526:BI526"/>
    <mergeCell ref="H527:I527"/>
    <mergeCell ref="U527:V527"/>
    <mergeCell ref="AH527:AI527"/>
    <mergeCell ref="AJ527:AK527"/>
    <mergeCell ref="AU527:AV527"/>
    <mergeCell ref="BH527:BI527"/>
    <mergeCell ref="H528:I528"/>
    <mergeCell ref="U528:V528"/>
    <mergeCell ref="AH528:AI528"/>
    <mergeCell ref="AU528:AV528"/>
    <mergeCell ref="BH528:BI528"/>
    <mergeCell ref="H529:I529"/>
    <mergeCell ref="U529:V529"/>
    <mergeCell ref="AH529:AI529"/>
    <mergeCell ref="AU529:AV529"/>
    <mergeCell ref="BH529:BI529"/>
    <mergeCell ref="H530:I530"/>
    <mergeCell ref="U530:V530"/>
    <mergeCell ref="AH530:AI530"/>
    <mergeCell ref="AU530:AV530"/>
    <mergeCell ref="BH530:BI530"/>
    <mergeCell ref="H531:I531"/>
    <mergeCell ref="U531:V531"/>
    <mergeCell ref="AH531:AI531"/>
    <mergeCell ref="AU531:AV531"/>
    <mergeCell ref="BH531:BI531"/>
    <mergeCell ref="H532:I532"/>
    <mergeCell ref="U532:V532"/>
    <mergeCell ref="AH532:AI532"/>
    <mergeCell ref="AU532:AV532"/>
    <mergeCell ref="BH532:BI532"/>
    <mergeCell ref="H533:I533"/>
    <mergeCell ref="U533:V533"/>
    <mergeCell ref="AH533:AI533"/>
    <mergeCell ref="AU533:AV533"/>
    <mergeCell ref="BH533:BI533"/>
    <mergeCell ref="H534:I534"/>
    <mergeCell ref="U534:V534"/>
    <mergeCell ref="AH534:AI534"/>
    <mergeCell ref="AU534:AV534"/>
    <mergeCell ref="BH534:BI534"/>
    <mergeCell ref="H535:I535"/>
    <mergeCell ref="U535:V535"/>
    <mergeCell ref="AH535:AI535"/>
    <mergeCell ref="BH535:BI535"/>
    <mergeCell ref="H536:I536"/>
    <mergeCell ref="U536:V536"/>
    <mergeCell ref="AH536:AI536"/>
    <mergeCell ref="U537:V537"/>
    <mergeCell ref="AH537:AI537"/>
    <mergeCell ref="H538:I538"/>
    <mergeCell ref="U538:V538"/>
    <mergeCell ref="AH538:AI538"/>
    <mergeCell ref="AP538:AQ538"/>
    <mergeCell ref="AR538:AS538"/>
    <mergeCell ref="AW538:AX538"/>
    <mergeCell ref="H539:I539"/>
    <mergeCell ref="U539:V539"/>
    <mergeCell ref="AH539:AI539"/>
    <mergeCell ref="AW539:AX539"/>
    <mergeCell ref="U540:V540"/>
    <mergeCell ref="AH540:AI540"/>
    <mergeCell ref="AU540:AV540"/>
    <mergeCell ref="AW540:AX540"/>
    <mergeCell ref="U541:V541"/>
    <mergeCell ref="AH541:AI541"/>
    <mergeCell ref="AU541:AV541"/>
    <mergeCell ref="AW541:AX541"/>
    <mergeCell ref="U542:V542"/>
    <mergeCell ref="AH542:AI542"/>
    <mergeCell ref="AU542:AV542"/>
    <mergeCell ref="U543:V543"/>
    <mergeCell ref="AH543:AI543"/>
    <mergeCell ref="AU543:AV543"/>
    <mergeCell ref="BC543:BD543"/>
    <mergeCell ref="BE543:BF543"/>
    <mergeCell ref="BJ543:BK543"/>
    <mergeCell ref="C544:D544"/>
    <mergeCell ref="E544:F544"/>
    <mergeCell ref="J544:K544"/>
    <mergeCell ref="U544:V544"/>
    <mergeCell ref="AU544:AV544"/>
    <mergeCell ref="BJ544:BK544"/>
    <mergeCell ref="J545:K545"/>
    <mergeCell ref="AU545:AV545"/>
    <mergeCell ref="BH545:BI545"/>
    <mergeCell ref="BJ545:BK545"/>
    <mergeCell ref="H546:I546"/>
    <mergeCell ref="J546:K546"/>
    <mergeCell ref="AU546:AV546"/>
    <mergeCell ref="BH546:BI546"/>
    <mergeCell ref="BJ546:BK546"/>
    <mergeCell ref="H547:I547"/>
    <mergeCell ref="J547:K547"/>
    <mergeCell ref="U547:V547"/>
    <mergeCell ref="AU547:AV547"/>
    <mergeCell ref="BH547:BI547"/>
    <mergeCell ref="H548:I548"/>
    <mergeCell ref="U548:V548"/>
    <mergeCell ref="AC548:AD548"/>
    <mergeCell ref="AE548:AF548"/>
    <mergeCell ref="AJ548:AK548"/>
    <mergeCell ref="AU548:AV548"/>
    <mergeCell ref="BH548:BI548"/>
    <mergeCell ref="H549:I549"/>
    <mergeCell ref="AJ549:AK549"/>
    <mergeCell ref="AU549:AV549"/>
    <mergeCell ref="BH549:BI549"/>
    <mergeCell ref="H550:I550"/>
    <mergeCell ref="AH550:AI550"/>
    <mergeCell ref="AJ550:AK550"/>
    <mergeCell ref="AU550:AV550"/>
    <mergeCell ref="BH550:BI550"/>
    <mergeCell ref="H551:I551"/>
    <mergeCell ref="AH551:AI551"/>
    <mergeCell ref="AJ551:AK551"/>
    <mergeCell ref="AU551:AV551"/>
    <mergeCell ref="BH551:BI551"/>
    <mergeCell ref="H552:I552"/>
    <mergeCell ref="AH552:AI552"/>
    <mergeCell ref="AU552:AV552"/>
    <mergeCell ref="BH552:BI552"/>
    <mergeCell ref="H553:I553"/>
    <mergeCell ref="P553:Q553"/>
    <mergeCell ref="R553:S553"/>
    <mergeCell ref="W553:X553"/>
    <mergeCell ref="AH553:AI553"/>
    <mergeCell ref="AU553:AV553"/>
    <mergeCell ref="BH553:BI553"/>
    <mergeCell ref="H554:I554"/>
    <mergeCell ref="W554:X554"/>
    <mergeCell ref="AH554:AI554"/>
    <mergeCell ref="AU554:AV554"/>
    <mergeCell ref="BH554:BI554"/>
    <mergeCell ref="H555:I555"/>
    <mergeCell ref="U555:V555"/>
    <mergeCell ref="W555:X555"/>
    <mergeCell ref="AH555:AI555"/>
    <mergeCell ref="AU555:AV555"/>
    <mergeCell ref="BH555:BI555"/>
    <mergeCell ref="H556:I556"/>
    <mergeCell ref="U556:V556"/>
    <mergeCell ref="W556:X556"/>
    <mergeCell ref="AH556:AI556"/>
    <mergeCell ref="AU556:AV556"/>
    <mergeCell ref="BH556:BI556"/>
    <mergeCell ref="H557:I557"/>
    <mergeCell ref="U557:V557"/>
    <mergeCell ref="AH557:AI557"/>
    <mergeCell ref="AU557:AV557"/>
    <mergeCell ref="BH557:BI557"/>
    <mergeCell ref="H558:I558"/>
    <mergeCell ref="U558:V558"/>
    <mergeCell ref="AH558:AI558"/>
    <mergeCell ref="AU558:AV558"/>
    <mergeCell ref="BH558:BI558"/>
    <mergeCell ref="H559:I559"/>
    <mergeCell ref="U559:V559"/>
    <mergeCell ref="AH559:AI559"/>
    <mergeCell ref="AU559:AV559"/>
    <mergeCell ref="BH559:BI559"/>
    <mergeCell ref="H560:I560"/>
    <mergeCell ref="U560:V560"/>
    <mergeCell ref="AH560:AI560"/>
    <mergeCell ref="AU560:AV560"/>
    <mergeCell ref="BH560:BI560"/>
    <mergeCell ref="H561:I561"/>
    <mergeCell ref="U561:V561"/>
    <mergeCell ref="AH561:AI561"/>
    <mergeCell ref="AU561:AV561"/>
    <mergeCell ref="BH561:BI561"/>
    <mergeCell ref="H562:I562"/>
    <mergeCell ref="U562:V562"/>
    <mergeCell ref="AH562:AI562"/>
    <mergeCell ref="AU562:AV562"/>
    <mergeCell ref="BH562:BI562"/>
    <mergeCell ref="H563:I563"/>
    <mergeCell ref="U563:V563"/>
    <mergeCell ref="AH563:AI563"/>
    <mergeCell ref="BH563:BI563"/>
    <mergeCell ref="H564:I564"/>
    <mergeCell ref="U564:V564"/>
    <mergeCell ref="AH564:AI564"/>
    <mergeCell ref="BH564:BI564"/>
    <mergeCell ref="H565:I565"/>
    <mergeCell ref="U565:V565"/>
    <mergeCell ref="AH565:AI565"/>
    <mergeCell ref="BH565:BI565"/>
    <mergeCell ref="H566:I566"/>
    <mergeCell ref="U566:V566"/>
    <mergeCell ref="AH566:AI566"/>
    <mergeCell ref="H567:I567"/>
    <mergeCell ref="U567:V567"/>
    <mergeCell ref="AH567:AI567"/>
    <mergeCell ref="AP567:AQ567"/>
    <mergeCell ref="AR567:AS567"/>
    <mergeCell ref="AW567:AX567"/>
    <mergeCell ref="H568:I568"/>
    <mergeCell ref="U568:V568"/>
    <mergeCell ref="AH568:AI568"/>
    <mergeCell ref="AW568:AX568"/>
    <mergeCell ref="U569:V569"/>
    <mergeCell ref="AH569:AI569"/>
    <mergeCell ref="AU569:AV569"/>
    <mergeCell ref="AW569:AX569"/>
    <mergeCell ref="H570:I570"/>
    <mergeCell ref="U570:V570"/>
    <mergeCell ref="AH570:AI570"/>
    <mergeCell ref="AU570:AV570"/>
    <mergeCell ref="AW570:AX570"/>
    <mergeCell ref="H571:I571"/>
    <mergeCell ref="U571:V571"/>
    <mergeCell ref="AH571:AI571"/>
    <mergeCell ref="AU571:AV571"/>
    <mergeCell ref="U572:V572"/>
    <mergeCell ref="AH572:AI572"/>
    <mergeCell ref="AU572:AV572"/>
    <mergeCell ref="BC572:BD572"/>
    <mergeCell ref="BE572:BF572"/>
    <mergeCell ref="BJ572:BK572"/>
    <mergeCell ref="U573:V573"/>
    <mergeCell ref="AH573:AI573"/>
    <mergeCell ref="AU573:AV573"/>
    <mergeCell ref="BJ573:BK573"/>
    <mergeCell ref="U574:V574"/>
    <mergeCell ref="AH574:AI574"/>
    <mergeCell ref="AU574:AV574"/>
    <mergeCell ref="BH574:BI574"/>
    <mergeCell ref="BJ574:BK574"/>
    <mergeCell ref="U575:V575"/>
    <mergeCell ref="AH575:AI575"/>
    <mergeCell ref="AU575:AV575"/>
    <mergeCell ref="BH575:BI575"/>
    <mergeCell ref="BJ575:BK575"/>
    <mergeCell ref="C576:D576"/>
    <mergeCell ref="E576:F576"/>
    <mergeCell ref="J576:K576"/>
    <mergeCell ref="U576:V576"/>
    <mergeCell ref="AH576:AI576"/>
    <mergeCell ref="AU576:AV576"/>
    <mergeCell ref="BH576:BI576"/>
    <mergeCell ref="J577:K577"/>
    <mergeCell ref="U577:V577"/>
    <mergeCell ref="AH577:AI577"/>
    <mergeCell ref="AU577:AV577"/>
    <mergeCell ref="BH577:BI577"/>
    <mergeCell ref="H578:I578"/>
    <mergeCell ref="J578:K578"/>
    <mergeCell ref="U578:V578"/>
    <mergeCell ref="AH578:AI578"/>
    <mergeCell ref="AU578:AV578"/>
    <mergeCell ref="BH578:BI578"/>
    <mergeCell ref="H579:I579"/>
    <mergeCell ref="J579:K579"/>
    <mergeCell ref="U579:V579"/>
    <mergeCell ref="AH579:AI579"/>
    <mergeCell ref="AU579:AV579"/>
    <mergeCell ref="BH579:BI579"/>
    <mergeCell ref="H580:I580"/>
    <mergeCell ref="U580:V580"/>
    <mergeCell ref="AH580:AI580"/>
    <mergeCell ref="AU580:AV580"/>
    <mergeCell ref="BH580:BI580"/>
    <mergeCell ref="H581:I581"/>
    <mergeCell ref="U581:V581"/>
    <mergeCell ref="AH581:AI581"/>
    <mergeCell ref="AU581:AV581"/>
    <mergeCell ref="BH581:BI581"/>
    <mergeCell ref="H582:I582"/>
    <mergeCell ref="AH582:AI582"/>
    <mergeCell ref="AU582:AV582"/>
    <mergeCell ref="BH582:BI582"/>
    <mergeCell ref="H583:I583"/>
    <mergeCell ref="AU583:AV583"/>
    <mergeCell ref="BH583:BI583"/>
    <mergeCell ref="AU584:AV584"/>
    <mergeCell ref="BH584:BI584"/>
    <mergeCell ref="AU585:AV585"/>
    <mergeCell ref="BH585:BI585"/>
    <mergeCell ref="H586:I586"/>
    <mergeCell ref="AU586:AV586"/>
    <mergeCell ref="BH586:BI586"/>
    <mergeCell ref="H587:I587"/>
    <mergeCell ref="P587:Q587"/>
    <mergeCell ref="R587:S587"/>
    <mergeCell ref="W587:X587"/>
    <mergeCell ref="AC587:AD587"/>
    <mergeCell ref="AE587:AF587"/>
    <mergeCell ref="AJ587:AK587"/>
    <mergeCell ref="AU587:AV587"/>
    <mergeCell ref="BH587:BI587"/>
    <mergeCell ref="H588:I588"/>
    <mergeCell ref="W588:X588"/>
    <mergeCell ref="AJ588:AK588"/>
    <mergeCell ref="AU588:AV588"/>
    <mergeCell ref="BH588:BI588"/>
    <mergeCell ref="H589:I589"/>
    <mergeCell ref="U589:V589"/>
    <mergeCell ref="W589:X589"/>
    <mergeCell ref="AH589:AI589"/>
    <mergeCell ref="AJ589:AK589"/>
    <mergeCell ref="AU589:AV589"/>
    <mergeCell ref="BH589:BI589"/>
    <mergeCell ref="H590:I590"/>
    <mergeCell ref="U590:V590"/>
    <mergeCell ref="W590:X590"/>
    <mergeCell ref="AH590:AI590"/>
    <mergeCell ref="AJ590:AK590"/>
    <mergeCell ref="BH590:BI590"/>
    <mergeCell ref="H591:I591"/>
    <mergeCell ref="U591:V591"/>
    <mergeCell ref="AH591:AI591"/>
    <mergeCell ref="BH591:BI591"/>
    <mergeCell ref="H592:I592"/>
    <mergeCell ref="U592:V592"/>
    <mergeCell ref="AH592:AI592"/>
    <mergeCell ref="BH592:BI592"/>
    <mergeCell ref="H593:I593"/>
    <mergeCell ref="U593:V593"/>
    <mergeCell ref="AH593:AI593"/>
    <mergeCell ref="BH593:BI593"/>
    <mergeCell ref="H594:I594"/>
    <mergeCell ref="U594:V594"/>
    <mergeCell ref="AH594:AI594"/>
    <mergeCell ref="AP594:AQ594"/>
    <mergeCell ref="AR594:AS594"/>
    <mergeCell ref="AW594:AX594"/>
    <mergeCell ref="BH594:BI594"/>
    <mergeCell ref="H595:I595"/>
    <mergeCell ref="U595:V595"/>
    <mergeCell ref="AH595:AI595"/>
    <mergeCell ref="AW595:AX595"/>
    <mergeCell ref="H596:I596"/>
    <mergeCell ref="U596:V596"/>
    <mergeCell ref="AH596:AI596"/>
    <mergeCell ref="AU596:AV596"/>
    <mergeCell ref="AW596:AX596"/>
    <mergeCell ref="H597:I597"/>
    <mergeCell ref="U597:V597"/>
    <mergeCell ref="AH597:AI597"/>
    <mergeCell ref="AU597:AV597"/>
    <mergeCell ref="AW597:AX597"/>
    <mergeCell ref="H598:I598"/>
    <mergeCell ref="U598:V598"/>
    <mergeCell ref="AH598:AI598"/>
    <mergeCell ref="AU598:AV598"/>
    <mergeCell ref="H599:I599"/>
    <mergeCell ref="U599:V599"/>
    <mergeCell ref="AH599:AI599"/>
    <mergeCell ref="AU599:AV599"/>
    <mergeCell ref="H600:I600"/>
    <mergeCell ref="U600:V600"/>
    <mergeCell ref="AH600:AI600"/>
    <mergeCell ref="AU600:AV600"/>
    <mergeCell ref="BC600:BD600"/>
    <mergeCell ref="BE600:BF600"/>
    <mergeCell ref="BJ600:BK600"/>
    <mergeCell ref="H601:I601"/>
    <mergeCell ref="U601:V601"/>
    <mergeCell ref="AH601:AI601"/>
    <mergeCell ref="AU601:AV601"/>
    <mergeCell ref="BJ601:BK601"/>
    <mergeCell ref="H602:I602"/>
    <mergeCell ref="U602:V602"/>
    <mergeCell ref="AH602:AI602"/>
    <mergeCell ref="AU602:AV602"/>
    <mergeCell ref="BH602:BI602"/>
    <mergeCell ref="BJ602:BK602"/>
    <mergeCell ref="U603:V603"/>
    <mergeCell ref="AH603:AI603"/>
    <mergeCell ref="AU603:AV603"/>
    <mergeCell ref="BH603:BI603"/>
    <mergeCell ref="BJ603:BK603"/>
    <mergeCell ref="H604:I604"/>
    <mergeCell ref="U604:V604"/>
    <mergeCell ref="AH604:AI604"/>
    <mergeCell ref="AU604:AV604"/>
    <mergeCell ref="BH604:BI604"/>
    <mergeCell ref="H605:I605"/>
    <mergeCell ref="U605:V605"/>
    <mergeCell ref="AH605:AI605"/>
    <mergeCell ref="AU605:AV605"/>
    <mergeCell ref="BH605:BI605"/>
    <mergeCell ref="U606:V606"/>
    <mergeCell ref="AH606:AI606"/>
    <mergeCell ref="AU606:AV606"/>
    <mergeCell ref="BH606:BI606"/>
    <mergeCell ref="U607:V607"/>
    <mergeCell ref="AH607:AI607"/>
    <mergeCell ref="AU607:AV607"/>
    <mergeCell ref="BH607:BI607"/>
    <mergeCell ref="U608:V608"/>
    <mergeCell ref="AH608:AI608"/>
    <mergeCell ref="AU608:AV608"/>
    <mergeCell ref="BH608:BI608"/>
    <mergeCell ref="U609:V609"/>
    <mergeCell ref="AH609:AI609"/>
    <mergeCell ref="AU609:AV609"/>
    <mergeCell ref="BH609:BI609"/>
    <mergeCell ref="C610:D610"/>
    <mergeCell ref="E610:F610"/>
    <mergeCell ref="J610:K610"/>
    <mergeCell ref="AH610:AI610"/>
    <mergeCell ref="AU610:AV610"/>
    <mergeCell ref="BH610:BI610"/>
    <mergeCell ref="J611:K611"/>
    <mergeCell ref="AH611:AI611"/>
    <mergeCell ref="AU611:AV611"/>
    <mergeCell ref="BH611:BI611"/>
    <mergeCell ref="H612:I612"/>
    <mergeCell ref="J612:K612"/>
    <mergeCell ref="AH612:AI612"/>
    <mergeCell ref="AU612:AV612"/>
    <mergeCell ref="BH612:BI612"/>
    <mergeCell ref="H613:I613"/>
    <mergeCell ref="J613:K613"/>
    <mergeCell ref="AU613:AV613"/>
    <mergeCell ref="BH613:BI613"/>
    <mergeCell ref="H614:I614"/>
    <mergeCell ref="P614:Q614"/>
    <mergeCell ref="R614:S614"/>
    <mergeCell ref="W614:X614"/>
    <mergeCell ref="AU614:AV614"/>
    <mergeCell ref="BH614:BI614"/>
    <mergeCell ref="H615:I615"/>
    <mergeCell ref="W615:X615"/>
    <mergeCell ref="AU615:AV615"/>
    <mergeCell ref="BH615:BI615"/>
    <mergeCell ref="H616:I616"/>
    <mergeCell ref="U616:V616"/>
    <mergeCell ref="W616:X616"/>
    <mergeCell ref="AU616:AV616"/>
    <mergeCell ref="BH616:BI616"/>
    <mergeCell ref="H617:I617"/>
    <mergeCell ref="U617:V617"/>
    <mergeCell ref="W617:X617"/>
    <mergeCell ref="AC617:AD617"/>
    <mergeCell ref="AE617:AF617"/>
    <mergeCell ref="AJ617:AK617"/>
    <mergeCell ref="AU617:AV617"/>
    <mergeCell ref="BH617:BI617"/>
    <mergeCell ref="H618:I618"/>
    <mergeCell ref="U618:V618"/>
    <mergeCell ref="AJ618:AK618"/>
    <mergeCell ref="AU618:AV618"/>
    <mergeCell ref="BH618:BI618"/>
    <mergeCell ref="H619:I619"/>
    <mergeCell ref="U619:V619"/>
    <mergeCell ref="AH619:AI619"/>
    <mergeCell ref="AJ619:AK619"/>
    <mergeCell ref="AU619:AV619"/>
    <mergeCell ref="BH619:BI619"/>
    <mergeCell ref="H620:I620"/>
    <mergeCell ref="U620:V620"/>
    <mergeCell ref="AH620:AI620"/>
    <mergeCell ref="AJ620:AK620"/>
    <mergeCell ref="AU620:AV620"/>
    <mergeCell ref="BH620:BI620"/>
    <mergeCell ref="H623:I623"/>
    <mergeCell ref="U623:V623"/>
    <mergeCell ref="AH623:AI623"/>
    <mergeCell ref="AU623:AV623"/>
    <mergeCell ref="BH623:BI623"/>
    <mergeCell ref="H624:I624"/>
    <mergeCell ref="U624:V624"/>
    <mergeCell ref="AH624:AI624"/>
    <mergeCell ref="AU624:AV624"/>
    <mergeCell ref="BH624:BI624"/>
    <mergeCell ref="H625:I625"/>
    <mergeCell ref="U625:V625"/>
    <mergeCell ref="AH625:AI625"/>
    <mergeCell ref="H626:I626"/>
    <mergeCell ref="U626:V626"/>
    <mergeCell ref="AH626:AI626"/>
    <mergeCell ref="H627:I627"/>
    <mergeCell ref="U627:V627"/>
    <mergeCell ref="AH627:AI627"/>
    <mergeCell ref="H628:I628"/>
    <mergeCell ref="U628:V628"/>
    <mergeCell ref="AH628:AI628"/>
    <mergeCell ref="H629:I629"/>
    <mergeCell ref="U629:V629"/>
    <mergeCell ref="AH629:AI629"/>
    <mergeCell ref="AP629:AQ629"/>
    <mergeCell ref="AR629:AS629"/>
    <mergeCell ref="AW629:AX629"/>
    <mergeCell ref="BC629:BD629"/>
    <mergeCell ref="BE629:BF629"/>
    <mergeCell ref="BJ629:BK629"/>
    <mergeCell ref="H630:I630"/>
    <mergeCell ref="U630:V630"/>
    <mergeCell ref="AH630:AI630"/>
    <mergeCell ref="AW630:AX630"/>
    <mergeCell ref="BJ630:BK630"/>
    <mergeCell ref="H631:I631"/>
    <mergeCell ref="U631:V631"/>
    <mergeCell ref="AH631:AI631"/>
    <mergeCell ref="AU631:AV631"/>
    <mergeCell ref="AW631:AX631"/>
    <mergeCell ref="BH631:BI631"/>
    <mergeCell ref="BJ631:BK631"/>
    <mergeCell ref="H632:I632"/>
    <mergeCell ref="U632:V632"/>
    <mergeCell ref="AH632:AI632"/>
    <mergeCell ref="AU632:AV632"/>
    <mergeCell ref="AW632:AX632"/>
    <mergeCell ref="BH632:BI632"/>
    <mergeCell ref="BJ632:BK632"/>
    <mergeCell ref="H633:I633"/>
    <mergeCell ref="U633:V633"/>
    <mergeCell ref="AH633:AI633"/>
    <mergeCell ref="AU633:AV633"/>
    <mergeCell ref="BH633:BI633"/>
    <mergeCell ref="H634:I634"/>
    <mergeCell ref="U634:V634"/>
    <mergeCell ref="AH634:AI634"/>
    <mergeCell ref="AU634:AV634"/>
    <mergeCell ref="BH634:BI634"/>
    <mergeCell ref="H635:I635"/>
    <mergeCell ref="U635:V635"/>
    <mergeCell ref="AH635:AI635"/>
    <mergeCell ref="AU635:AV635"/>
    <mergeCell ref="BH635:BI635"/>
    <mergeCell ref="H636:I636"/>
    <mergeCell ref="U636:V636"/>
    <mergeCell ref="AH636:AI636"/>
    <mergeCell ref="AU636:AV636"/>
    <mergeCell ref="BH636:BI636"/>
    <mergeCell ref="U637:V637"/>
    <mergeCell ref="AH637:AI637"/>
    <mergeCell ref="AU637:AV637"/>
    <mergeCell ref="BH637:BI637"/>
    <mergeCell ref="H638:I638"/>
    <mergeCell ref="U638:V638"/>
    <mergeCell ref="AH638:AI638"/>
    <mergeCell ref="AU638:AV638"/>
    <mergeCell ref="BH638:BI638"/>
    <mergeCell ref="H639:I639"/>
    <mergeCell ref="U639:V639"/>
    <mergeCell ref="AH639:AI639"/>
    <mergeCell ref="AU639:AV639"/>
    <mergeCell ref="BH639:BI639"/>
    <mergeCell ref="U640:V640"/>
    <mergeCell ref="AH640:AI640"/>
    <mergeCell ref="AU640:AV640"/>
    <mergeCell ref="BH640:BI640"/>
    <mergeCell ref="AH641:AI641"/>
    <mergeCell ref="AU641:AV641"/>
    <mergeCell ref="BH641:BI641"/>
    <mergeCell ref="AH642:AI642"/>
    <mergeCell ref="AU642:AV642"/>
    <mergeCell ref="BH642:BI642"/>
    <mergeCell ref="AH643:AI643"/>
    <mergeCell ref="AU643:AV643"/>
    <mergeCell ref="BH643:BI643"/>
    <mergeCell ref="C644:D644"/>
    <mergeCell ref="E644:F644"/>
    <mergeCell ref="J644:K644"/>
    <mergeCell ref="AH644:AI644"/>
    <mergeCell ref="AU644:AV644"/>
    <mergeCell ref="BH644:BI644"/>
    <mergeCell ref="J645:K645"/>
    <mergeCell ref="P645:Q645"/>
    <mergeCell ref="R645:S645"/>
    <mergeCell ref="W645:X645"/>
    <mergeCell ref="AH645:AI645"/>
    <mergeCell ref="AU645:AV645"/>
    <mergeCell ref="BH645:BI645"/>
    <mergeCell ref="H646:I646"/>
    <mergeCell ref="J646:K646"/>
    <mergeCell ref="W646:X646"/>
    <mergeCell ref="AU646:AV646"/>
    <mergeCell ref="BH646:BI646"/>
    <mergeCell ref="H647:I647"/>
    <mergeCell ref="J647:K647"/>
    <mergeCell ref="U647:V647"/>
    <mergeCell ref="W647:X647"/>
    <mergeCell ref="AU647:AV647"/>
    <mergeCell ref="BH647:BI647"/>
    <mergeCell ref="H648:I648"/>
    <mergeCell ref="U648:V648"/>
    <mergeCell ref="W648:X648"/>
    <mergeCell ref="AU648:AV648"/>
    <mergeCell ref="BH648:BI648"/>
    <mergeCell ref="H649:I649"/>
    <mergeCell ref="U649:V649"/>
    <mergeCell ref="AU649:AV649"/>
    <mergeCell ref="BH649:BI649"/>
    <mergeCell ref="H650:I650"/>
    <mergeCell ref="U650:V650"/>
    <mergeCell ref="H651:I651"/>
    <mergeCell ref="U651:V651"/>
    <mergeCell ref="AC651:AD651"/>
    <mergeCell ref="AE651:AF651"/>
    <mergeCell ref="AJ651:AK651"/>
    <mergeCell ref="H652:I652"/>
    <mergeCell ref="U652:V652"/>
    <mergeCell ref="AJ652:AK652"/>
    <mergeCell ref="BH652:BI652"/>
    <mergeCell ref="H653:I653"/>
    <mergeCell ref="U653:V653"/>
    <mergeCell ref="AH653:AI653"/>
    <mergeCell ref="AJ653:AK653"/>
    <mergeCell ref="BH653:BI653"/>
    <mergeCell ref="H654:I654"/>
    <mergeCell ref="U654:V654"/>
    <mergeCell ref="AH654:AI654"/>
    <mergeCell ref="AJ654:AK654"/>
    <mergeCell ref="AP654:AQ654"/>
    <mergeCell ref="AR654:AS654"/>
    <mergeCell ref="AW654:AX654"/>
    <mergeCell ref="H655:I655"/>
    <mergeCell ref="U655:V655"/>
    <mergeCell ref="AH655:AI655"/>
    <mergeCell ref="AW655:AX655"/>
    <mergeCell ref="H656:I656"/>
    <mergeCell ref="U656:V656"/>
    <mergeCell ref="AH656:AI656"/>
    <mergeCell ref="AU656:AV656"/>
    <mergeCell ref="AW656:AX656"/>
    <mergeCell ref="H657:I657"/>
    <mergeCell ref="U657:V657"/>
    <mergeCell ref="AH657:AI657"/>
    <mergeCell ref="AU657:AV657"/>
    <mergeCell ref="AW657:AX657"/>
    <mergeCell ref="H658:I658"/>
    <mergeCell ref="U658:V658"/>
    <mergeCell ref="AH658:AI658"/>
    <mergeCell ref="AU658:AV658"/>
    <mergeCell ref="H659:I659"/>
    <mergeCell ref="U659:V659"/>
    <mergeCell ref="AH659:AI659"/>
    <mergeCell ref="AU659:AV659"/>
    <mergeCell ref="H660:I660"/>
    <mergeCell ref="U660:V660"/>
    <mergeCell ref="AH660:AI660"/>
    <mergeCell ref="AU660:AV660"/>
    <mergeCell ref="H661:I661"/>
    <mergeCell ref="U661:V661"/>
    <mergeCell ref="AH661:AI661"/>
    <mergeCell ref="AU661:AV661"/>
    <mergeCell ref="H662:I662"/>
    <mergeCell ref="U662:V662"/>
    <mergeCell ref="AH662:AI662"/>
    <mergeCell ref="AU662:AV662"/>
    <mergeCell ref="H663:I663"/>
    <mergeCell ref="U663:V663"/>
    <mergeCell ref="AH663:AI663"/>
    <mergeCell ref="AU663:AV663"/>
    <mergeCell ref="H664:I664"/>
    <mergeCell ref="U664:V664"/>
    <mergeCell ref="AH664:AI664"/>
    <mergeCell ref="AU664:AV664"/>
    <mergeCell ref="H665:I665"/>
    <mergeCell ref="U665:V665"/>
    <mergeCell ref="AH665:AI665"/>
    <mergeCell ref="AU665:AV665"/>
    <mergeCell ref="H666:I666"/>
    <mergeCell ref="U666:V666"/>
    <mergeCell ref="AH666:AI666"/>
    <mergeCell ref="AU666:AV666"/>
    <mergeCell ref="H667:I667"/>
    <mergeCell ref="U667:V667"/>
    <mergeCell ref="AH667:AI667"/>
    <mergeCell ref="AU667:AV667"/>
    <mergeCell ref="H668:I668"/>
    <mergeCell ref="U668:V668"/>
    <mergeCell ref="AH668:AI668"/>
    <mergeCell ref="AU668:AV668"/>
    <mergeCell ref="U669:V669"/>
    <mergeCell ref="AH669:AI669"/>
    <mergeCell ref="AU669:AV669"/>
    <mergeCell ref="H670:I670"/>
    <mergeCell ref="U670:V670"/>
    <mergeCell ref="AH670:AI670"/>
    <mergeCell ref="AU670:AV670"/>
    <mergeCell ref="H671:I671"/>
    <mergeCell ref="U671:V671"/>
    <mergeCell ref="AH671:AI671"/>
    <mergeCell ref="AU671:AV671"/>
    <mergeCell ref="U672:V672"/>
    <mergeCell ref="AH672:AI672"/>
    <mergeCell ref="AU672:AV672"/>
    <mergeCell ref="U673:V673"/>
    <mergeCell ref="AH673:AI673"/>
    <mergeCell ref="AU673:AV673"/>
    <mergeCell ref="U674:V674"/>
    <mergeCell ref="AH674:AI674"/>
    <mergeCell ref="AU674:AV674"/>
    <mergeCell ref="U675:V675"/>
    <mergeCell ref="AH675:AI675"/>
    <mergeCell ref="AU675:AV675"/>
    <mergeCell ref="C676:D676"/>
    <mergeCell ref="E676:F676"/>
    <mergeCell ref="J676:K676"/>
    <mergeCell ref="U676:V676"/>
    <mergeCell ref="AH676:AI676"/>
    <mergeCell ref="AU676:AV676"/>
    <mergeCell ref="J677:K677"/>
    <mergeCell ref="U677:V677"/>
    <mergeCell ref="AH677:AI677"/>
    <mergeCell ref="AU677:AV677"/>
    <mergeCell ref="H678:I678"/>
    <mergeCell ref="J678:K678"/>
    <mergeCell ref="U678:V678"/>
    <mergeCell ref="AU678:AV678"/>
    <mergeCell ref="H679:I679"/>
    <mergeCell ref="J679:K679"/>
    <mergeCell ref="U679:V679"/>
    <mergeCell ref="H680:I680"/>
    <mergeCell ref="U680:V680"/>
    <mergeCell ref="H681:I681"/>
    <mergeCell ref="U681:V681"/>
    <mergeCell ref="H682:I682"/>
    <mergeCell ref="U682:V682"/>
    <mergeCell ref="AC682:AD682"/>
    <mergeCell ref="AE682:AF682"/>
    <mergeCell ref="AJ682:AK682"/>
    <mergeCell ref="H683:I683"/>
    <mergeCell ref="U683:V683"/>
    <mergeCell ref="AJ683:AK683"/>
    <mergeCell ref="AP683:AQ683"/>
    <mergeCell ref="AR683:AS683"/>
    <mergeCell ref="AW683:AX683"/>
    <mergeCell ref="H684:I684"/>
    <mergeCell ref="AH684:AI684"/>
    <mergeCell ref="AJ684:AK684"/>
    <mergeCell ref="AW684:AX684"/>
    <mergeCell ref="H685:I685"/>
    <mergeCell ref="AH685:AI685"/>
    <mergeCell ref="AJ685:AK685"/>
    <mergeCell ref="AU685:AV685"/>
    <mergeCell ref="AW685:AX685"/>
    <mergeCell ref="H686:I686"/>
    <mergeCell ref="AH686:AI686"/>
    <mergeCell ref="AU686:AV686"/>
    <mergeCell ref="AW686:AX686"/>
    <mergeCell ref="H687:I687"/>
    <mergeCell ref="AH687:AI687"/>
    <mergeCell ref="AU687:AV687"/>
    <mergeCell ref="H688:I688"/>
    <mergeCell ref="P688:Q688"/>
    <mergeCell ref="R688:S688"/>
    <mergeCell ref="W688:X688"/>
    <mergeCell ref="AH688:AI688"/>
    <mergeCell ref="AU688:AV688"/>
    <mergeCell ref="H689:I689"/>
    <mergeCell ref="W689:X689"/>
    <mergeCell ref="AH689:AI689"/>
    <mergeCell ref="AU689:AV689"/>
    <mergeCell ref="H690:I690"/>
    <mergeCell ref="U690:V690"/>
    <mergeCell ref="W690:X690"/>
    <mergeCell ref="AH690:AI690"/>
    <mergeCell ref="AU690:AV690"/>
    <mergeCell ref="H691:I691"/>
    <mergeCell ref="U691:V691"/>
    <mergeCell ref="W691:X691"/>
    <mergeCell ref="AH691:AI691"/>
    <mergeCell ref="AU691:AV691"/>
    <mergeCell ref="H692:I692"/>
    <mergeCell ref="U692:V692"/>
    <mergeCell ref="AH692:AI692"/>
    <mergeCell ref="AU692:AV692"/>
    <mergeCell ref="H693:I693"/>
    <mergeCell ref="U693:V693"/>
    <mergeCell ref="AH693:AI693"/>
    <mergeCell ref="AU693:AV693"/>
    <mergeCell ref="H694:I694"/>
    <mergeCell ref="U694:V694"/>
    <mergeCell ref="AH694:AI694"/>
    <mergeCell ref="AU694:AV694"/>
    <mergeCell ref="H695:I695"/>
    <mergeCell ref="U695:V695"/>
    <mergeCell ref="AH695:AI695"/>
    <mergeCell ref="AU695:AV695"/>
    <mergeCell ref="H696:I696"/>
    <mergeCell ref="U696:V696"/>
    <mergeCell ref="AH696:AI696"/>
    <mergeCell ref="AU696:AV696"/>
    <mergeCell ref="H697:I697"/>
    <mergeCell ref="U697:V697"/>
    <mergeCell ref="AH697:AI697"/>
    <mergeCell ref="AU697:AV697"/>
    <mergeCell ref="H698:I698"/>
    <mergeCell ref="U698:V698"/>
    <mergeCell ref="AH698:AI698"/>
    <mergeCell ref="AU698:AV698"/>
    <mergeCell ref="H699:I699"/>
    <mergeCell ref="U699:V699"/>
    <mergeCell ref="AU699:AV699"/>
    <mergeCell ref="H700:I700"/>
    <mergeCell ref="U700:V700"/>
    <mergeCell ref="AU700:AV700"/>
    <mergeCell ref="U701:V701"/>
    <mergeCell ref="AU701:AV701"/>
    <mergeCell ref="H702:I702"/>
    <mergeCell ref="U702:V702"/>
    <mergeCell ref="AU702:AV702"/>
    <mergeCell ref="H703:I703"/>
    <mergeCell ref="U703:V703"/>
    <mergeCell ref="AC703:AD703"/>
    <mergeCell ref="AE703:AF703"/>
    <mergeCell ref="AJ703:AK703"/>
    <mergeCell ref="AU703:AV703"/>
    <mergeCell ref="U704:V704"/>
    <mergeCell ref="AJ704:AK704"/>
    <mergeCell ref="AU704:AV704"/>
    <mergeCell ref="U705:V705"/>
    <mergeCell ref="AH705:AI705"/>
    <mergeCell ref="AJ705:AK705"/>
    <mergeCell ref="AU705:AV705"/>
    <mergeCell ref="AH706:AI706"/>
    <mergeCell ref="AJ706:AK706"/>
    <mergeCell ref="AU706:AV706"/>
    <mergeCell ref="AH707:AI707"/>
    <mergeCell ref="AU707:AV707"/>
    <mergeCell ref="C708:D708"/>
    <mergeCell ref="E708:F708"/>
    <mergeCell ref="AH708:AI708"/>
    <mergeCell ref="AH709:AI709"/>
    <mergeCell ref="H710:I710"/>
    <mergeCell ref="P710:Q710"/>
    <mergeCell ref="R710:S710"/>
    <mergeCell ref="W710:X710"/>
    <mergeCell ref="AH710:AI710"/>
    <mergeCell ref="H711:I711"/>
    <mergeCell ref="W711:X711"/>
    <mergeCell ref="AH711:AI711"/>
    <mergeCell ref="AP711:AQ711"/>
    <mergeCell ref="AR711:AS711"/>
    <mergeCell ref="AW711:AX711"/>
    <mergeCell ref="H712:I712"/>
    <mergeCell ref="U712:V712"/>
    <mergeCell ref="W712:X712"/>
    <mergeCell ref="AH712:AI712"/>
    <mergeCell ref="AW712:AX712"/>
    <mergeCell ref="H713:I713"/>
    <mergeCell ref="U713:V713"/>
    <mergeCell ref="W713:X713"/>
    <mergeCell ref="AH713:AI713"/>
    <mergeCell ref="AU713:AV713"/>
    <mergeCell ref="AW713:AX713"/>
    <mergeCell ref="H714:I714"/>
    <mergeCell ref="U714:V714"/>
    <mergeCell ref="AH714:AI714"/>
    <mergeCell ref="AU714:AV714"/>
    <mergeCell ref="AW714:AX714"/>
    <mergeCell ref="H715:I715"/>
    <mergeCell ref="U715:V715"/>
    <mergeCell ref="AH715:AI715"/>
    <mergeCell ref="AU715:AV715"/>
    <mergeCell ref="H716:I716"/>
    <mergeCell ref="U716:V716"/>
    <mergeCell ref="AH716:AI716"/>
    <mergeCell ref="AU716:AV716"/>
    <mergeCell ref="H717:I717"/>
    <mergeCell ref="U717:V717"/>
    <mergeCell ref="AH717:AI717"/>
    <mergeCell ref="AU717:AV717"/>
    <mergeCell ref="H718:I718"/>
    <mergeCell ref="U718:V718"/>
    <mergeCell ref="AH718:AI718"/>
    <mergeCell ref="AU718:AV718"/>
    <mergeCell ref="H719:I719"/>
    <mergeCell ref="U719:V719"/>
    <mergeCell ref="AH719:AI719"/>
    <mergeCell ref="AU719:AV719"/>
    <mergeCell ref="H720:I720"/>
    <mergeCell ref="U720:V720"/>
    <mergeCell ref="AH720:AI720"/>
    <mergeCell ref="AU720:AV720"/>
    <mergeCell ref="H721:I721"/>
    <mergeCell ref="U721:V721"/>
    <mergeCell ref="AH721:AI721"/>
    <mergeCell ref="AU721:AV721"/>
    <mergeCell ref="H722:I722"/>
    <mergeCell ref="U722:V722"/>
    <mergeCell ref="AH722:AI722"/>
    <mergeCell ref="AU722:AV722"/>
    <mergeCell ref="H723:I723"/>
    <mergeCell ref="U723:V723"/>
    <mergeCell ref="AH723:AI723"/>
    <mergeCell ref="AU723:AV723"/>
    <mergeCell ref="H724:I724"/>
    <mergeCell ref="U724:V724"/>
    <mergeCell ref="AH724:AI724"/>
    <mergeCell ref="AU724:AV724"/>
    <mergeCell ref="H725:I725"/>
    <mergeCell ref="U725:V725"/>
    <mergeCell ref="AH725:AI725"/>
    <mergeCell ref="AU725:AV725"/>
    <mergeCell ref="H726:I726"/>
    <mergeCell ref="U726:V726"/>
    <mergeCell ref="AH726:AI726"/>
    <mergeCell ref="AU726:AV726"/>
    <mergeCell ref="H727:I727"/>
    <mergeCell ref="U727:V727"/>
    <mergeCell ref="AH727:AI727"/>
    <mergeCell ref="AU727:AV727"/>
    <mergeCell ref="H728:I728"/>
    <mergeCell ref="U728:V728"/>
    <mergeCell ref="AH728:AI728"/>
    <mergeCell ref="AU728:AV728"/>
    <mergeCell ref="H729:I729"/>
    <mergeCell ref="U729:V729"/>
    <mergeCell ref="AH729:AI729"/>
    <mergeCell ref="AU729:AV729"/>
    <mergeCell ref="H730:I730"/>
    <mergeCell ref="U730:V730"/>
    <mergeCell ref="AH730:AI730"/>
    <mergeCell ref="AU730:AV730"/>
    <mergeCell ref="H731:I731"/>
    <mergeCell ref="AH731:AI731"/>
    <mergeCell ref="AU731:AV731"/>
    <mergeCell ref="H732:I732"/>
    <mergeCell ref="AH732:AI732"/>
    <mergeCell ref="AU732:AV732"/>
    <mergeCell ref="AH733:AI733"/>
    <mergeCell ref="AU733:AV733"/>
    <mergeCell ref="H734:I734"/>
    <mergeCell ref="AU734:AV734"/>
    <mergeCell ref="H735:I735"/>
    <mergeCell ref="AU735:AV735"/>
    <mergeCell ref="P736:Q736"/>
    <mergeCell ref="R736:S736"/>
    <mergeCell ref="W736:X736"/>
    <mergeCell ref="W737:X737"/>
    <mergeCell ref="U738:V738"/>
    <mergeCell ref="W738:X738"/>
    <mergeCell ref="AC738:AD738"/>
    <mergeCell ref="AE738:AF738"/>
    <mergeCell ref="AJ738:AK738"/>
    <mergeCell ref="U739:V739"/>
    <mergeCell ref="W739:X739"/>
    <mergeCell ref="AJ739:AK739"/>
    <mergeCell ref="C740:D740"/>
    <mergeCell ref="E740:F740"/>
    <mergeCell ref="U740:V740"/>
    <mergeCell ref="AH740:AI740"/>
    <mergeCell ref="AJ740:AK740"/>
    <mergeCell ref="AP740:AQ740"/>
    <mergeCell ref="AR740:AS740"/>
    <mergeCell ref="AW740:AX740"/>
    <mergeCell ref="U741:V741"/>
    <mergeCell ref="AH741:AI741"/>
    <mergeCell ref="AJ741:AK741"/>
    <mergeCell ref="AW741:AX741"/>
    <mergeCell ref="H742:I742"/>
    <mergeCell ref="U742:V742"/>
    <mergeCell ref="AH742:AI742"/>
    <mergeCell ref="AU742:AV742"/>
    <mergeCell ref="AW742:AX742"/>
    <mergeCell ref="H743:I743"/>
    <mergeCell ref="U743:V743"/>
    <mergeCell ref="AH743:AI743"/>
    <mergeCell ref="AU743:AV743"/>
    <mergeCell ref="AW743:AX743"/>
    <mergeCell ref="H744:I744"/>
    <mergeCell ref="U744:V744"/>
    <mergeCell ref="AH744:AI744"/>
    <mergeCell ref="AU744:AV744"/>
    <mergeCell ref="H745:I745"/>
    <mergeCell ref="U745:V745"/>
    <mergeCell ref="AH745:AI745"/>
    <mergeCell ref="AU745:AV745"/>
    <mergeCell ref="H746:I746"/>
    <mergeCell ref="U746:V746"/>
    <mergeCell ref="AH746:AI746"/>
    <mergeCell ref="AU746:AV746"/>
    <mergeCell ref="H747:I747"/>
    <mergeCell ref="U747:V747"/>
    <mergeCell ref="AH747:AI747"/>
    <mergeCell ref="AU747:AV747"/>
    <mergeCell ref="H748:I748"/>
    <mergeCell ref="U748:V748"/>
    <mergeCell ref="AH748:AI748"/>
    <mergeCell ref="AU748:AV748"/>
    <mergeCell ref="H749:I749"/>
    <mergeCell ref="U749:V749"/>
    <mergeCell ref="AH749:AI749"/>
    <mergeCell ref="AU749:AV749"/>
    <mergeCell ref="H750:I750"/>
    <mergeCell ref="U750:V750"/>
    <mergeCell ref="AH750:AI750"/>
    <mergeCell ref="AU750:AV750"/>
    <mergeCell ref="H751:I751"/>
    <mergeCell ref="U751:V751"/>
    <mergeCell ref="AH751:AI751"/>
    <mergeCell ref="AU751:AV751"/>
    <mergeCell ref="H752:I752"/>
    <mergeCell ref="U752:V752"/>
    <mergeCell ref="AH752:AI752"/>
    <mergeCell ref="AU752:AV752"/>
    <mergeCell ref="H753:I753"/>
    <mergeCell ref="U753:V753"/>
    <mergeCell ref="AH753:AI753"/>
    <mergeCell ref="AU753:AV753"/>
    <mergeCell ref="H754:I754"/>
    <mergeCell ref="U754:V754"/>
    <mergeCell ref="AH754:AI754"/>
    <mergeCell ref="AU754:AV754"/>
    <mergeCell ref="H755:I755"/>
    <mergeCell ref="AH755:AI755"/>
    <mergeCell ref="AU755:AV755"/>
    <mergeCell ref="H756:I756"/>
    <mergeCell ref="AH756:AI756"/>
    <mergeCell ref="AU756:AV756"/>
    <mergeCell ref="H757:I757"/>
    <mergeCell ref="AH757:AI757"/>
    <mergeCell ref="AU757:AV757"/>
    <mergeCell ref="H758:I758"/>
    <mergeCell ref="AH758:AI758"/>
    <mergeCell ref="AU758:AV758"/>
    <mergeCell ref="H759:I759"/>
    <mergeCell ref="AH759:AI759"/>
    <mergeCell ref="AU759:AV759"/>
    <mergeCell ref="H760:I760"/>
    <mergeCell ref="P760:Q760"/>
    <mergeCell ref="R760:S760"/>
    <mergeCell ref="W760:X760"/>
    <mergeCell ref="AH760:AI760"/>
    <mergeCell ref="AU760:AV760"/>
    <mergeCell ref="H761:I761"/>
    <mergeCell ref="W761:X761"/>
    <mergeCell ref="AH761:AI761"/>
    <mergeCell ref="AU761:AV761"/>
    <mergeCell ref="H762:I762"/>
    <mergeCell ref="U762:V762"/>
    <mergeCell ref="W762:X762"/>
    <mergeCell ref="AH762:AI762"/>
    <mergeCell ref="AU762:AV762"/>
    <mergeCell ref="H763:I763"/>
    <mergeCell ref="U763:V763"/>
    <mergeCell ref="W763:X763"/>
    <mergeCell ref="AH763:AI763"/>
    <mergeCell ref="AU763:AV763"/>
    <mergeCell ref="H764:I764"/>
    <mergeCell ref="U764:V764"/>
    <mergeCell ref="AH764:AI764"/>
    <mergeCell ref="AU764:AV764"/>
    <mergeCell ref="U765:V765"/>
    <mergeCell ref="AH765:AI765"/>
    <mergeCell ref="AU765:AV765"/>
    <mergeCell ref="H766:I766"/>
    <mergeCell ref="U766:V766"/>
    <mergeCell ref="AH766:AI766"/>
    <mergeCell ref="AU766:AV766"/>
    <mergeCell ref="H767:I767"/>
    <mergeCell ref="U767:V767"/>
    <mergeCell ref="AH767:AI767"/>
    <mergeCell ref="U768:V768"/>
    <mergeCell ref="AH768:AI768"/>
    <mergeCell ref="U769:V769"/>
    <mergeCell ref="AH769:AI769"/>
    <mergeCell ref="U770:V770"/>
    <mergeCell ref="AH770:AI770"/>
    <mergeCell ref="U771:V771"/>
    <mergeCell ref="AH771:AI771"/>
    <mergeCell ref="AP771:AQ771"/>
    <mergeCell ref="AR771:AS771"/>
    <mergeCell ref="AW771:AX771"/>
    <mergeCell ref="C772:D772"/>
    <mergeCell ref="E772:F772"/>
    <mergeCell ref="J772:K772"/>
    <mergeCell ref="U772:V772"/>
    <mergeCell ref="AH772:AI772"/>
    <mergeCell ref="AW772:AX772"/>
    <mergeCell ref="J773:K773"/>
    <mergeCell ref="U773:V773"/>
    <mergeCell ref="AH773:AI773"/>
    <mergeCell ref="AU773:AV773"/>
    <mergeCell ref="AW773:AX773"/>
    <mergeCell ref="H774:I774"/>
    <mergeCell ref="J774:K774"/>
    <mergeCell ref="U774:V774"/>
    <mergeCell ref="AH774:AI774"/>
    <mergeCell ref="AU774:AV774"/>
    <mergeCell ref="AW774:AX774"/>
    <mergeCell ref="H775:I775"/>
    <mergeCell ref="J775:K775"/>
    <mergeCell ref="U775:V775"/>
    <mergeCell ref="AH775:AI775"/>
    <mergeCell ref="AU775:AV775"/>
    <mergeCell ref="H776:I776"/>
    <mergeCell ref="U776:V776"/>
    <mergeCell ref="AH776:AI776"/>
    <mergeCell ref="AU776:AV776"/>
    <mergeCell ref="H777:I777"/>
    <mergeCell ref="U777:V777"/>
    <mergeCell ref="AH777:AI777"/>
    <mergeCell ref="AU777:AV777"/>
    <mergeCell ref="H778:I778"/>
    <mergeCell ref="U778:V778"/>
    <mergeCell ref="AH778:AI778"/>
    <mergeCell ref="AU778:AV778"/>
    <mergeCell ref="H779:I779"/>
    <mergeCell ref="AU779:AV779"/>
    <mergeCell ref="H780:I780"/>
    <mergeCell ref="AU780:AV780"/>
    <mergeCell ref="H781:I781"/>
    <mergeCell ref="AU781:AV781"/>
    <mergeCell ref="H782:I782"/>
    <mergeCell ref="AU782:AV782"/>
    <mergeCell ref="H783:I783"/>
    <mergeCell ref="P783:Q783"/>
    <mergeCell ref="R783:S783"/>
    <mergeCell ref="W783:X783"/>
    <mergeCell ref="AC783:AD783"/>
    <mergeCell ref="AE783:AF783"/>
    <mergeCell ref="AJ783:AK783"/>
    <mergeCell ref="AU783:AV783"/>
    <mergeCell ref="H784:I784"/>
    <mergeCell ref="W784:X784"/>
    <mergeCell ref="AJ784:AK784"/>
    <mergeCell ref="AU784:AV784"/>
    <mergeCell ref="H785:I785"/>
    <mergeCell ref="U785:V785"/>
    <mergeCell ref="W785:X785"/>
    <mergeCell ref="AH785:AI785"/>
    <mergeCell ref="AJ785:AK785"/>
    <mergeCell ref="AU785:AV785"/>
    <mergeCell ref="H786:I786"/>
    <mergeCell ref="U786:V786"/>
    <mergeCell ref="W786:X786"/>
    <mergeCell ref="AH786:AI786"/>
    <mergeCell ref="AJ786:AK786"/>
    <mergeCell ref="AU786:AV786"/>
    <mergeCell ref="H787:I787"/>
    <mergeCell ref="U787:V787"/>
    <mergeCell ref="AH787:AI787"/>
    <mergeCell ref="AU787:AV787"/>
    <mergeCell ref="H788:I788"/>
    <mergeCell ref="U788:V788"/>
    <mergeCell ref="AH788:AI788"/>
    <mergeCell ref="AU788:AV788"/>
    <mergeCell ref="H789:I789"/>
    <mergeCell ref="U789:V789"/>
    <mergeCell ref="AH789:AI789"/>
    <mergeCell ref="AU789:AV789"/>
    <mergeCell ref="H790:I790"/>
    <mergeCell ref="U790:V790"/>
    <mergeCell ref="AH790:AI790"/>
    <mergeCell ref="AU790:AV790"/>
    <mergeCell ref="H791:I791"/>
    <mergeCell ref="U791:V791"/>
    <mergeCell ref="AH791:AI791"/>
    <mergeCell ref="AU791:AV791"/>
    <mergeCell ref="H792:I792"/>
    <mergeCell ref="U792:V792"/>
    <mergeCell ref="AH792:AI792"/>
    <mergeCell ref="AU792:AV792"/>
    <mergeCell ref="H793:I793"/>
    <mergeCell ref="U793:V793"/>
    <mergeCell ref="AH793:AI793"/>
    <mergeCell ref="AU793:AV793"/>
    <mergeCell ref="H794:I794"/>
    <mergeCell ref="U794:V794"/>
    <mergeCell ref="AH794:AI794"/>
    <mergeCell ref="AU794:AV794"/>
    <mergeCell ref="H795:I795"/>
    <mergeCell ref="U795:V795"/>
    <mergeCell ref="AH795:AI795"/>
    <mergeCell ref="AU795:AV795"/>
    <mergeCell ref="H796:I796"/>
    <mergeCell ref="U796:V796"/>
    <mergeCell ref="AH796:AI796"/>
    <mergeCell ref="AU796:AV796"/>
    <mergeCell ref="U797:V797"/>
    <mergeCell ref="AH797:AI797"/>
    <mergeCell ref="AU797:AV797"/>
    <mergeCell ref="H798:I798"/>
    <mergeCell ref="U798:V798"/>
    <mergeCell ref="AH798:AI798"/>
    <mergeCell ref="AU798:AV798"/>
    <mergeCell ref="H799:I799"/>
    <mergeCell ref="U799:V799"/>
    <mergeCell ref="AH799:AI799"/>
    <mergeCell ref="AU799:AV799"/>
    <mergeCell ref="H800:I800"/>
    <mergeCell ref="U800:V800"/>
    <mergeCell ref="AH800:AI800"/>
    <mergeCell ref="AU800:AV800"/>
    <mergeCell ref="H801:I801"/>
    <mergeCell ref="U801:V801"/>
    <mergeCell ref="AH801:AI801"/>
    <mergeCell ref="AU801:AV801"/>
    <mergeCell ref="U802:V802"/>
    <mergeCell ref="AH802:AI802"/>
    <mergeCell ref="AU802:AV802"/>
    <mergeCell ref="AH803:AI803"/>
    <mergeCell ref="AU803:AV803"/>
    <mergeCell ref="AU804:AV804"/>
    <mergeCell ref="AU805:AV805"/>
    <mergeCell ref="C806:D806"/>
    <mergeCell ref="E806:F806"/>
    <mergeCell ref="J806:K806"/>
    <mergeCell ref="AU806:AV806"/>
    <mergeCell ref="J807:K807"/>
    <mergeCell ref="P807:Q807"/>
    <mergeCell ref="R807:S807"/>
    <mergeCell ref="W807:X807"/>
    <mergeCell ref="AU807:AV807"/>
    <mergeCell ref="H808:I808"/>
    <mergeCell ref="J808:K808"/>
    <mergeCell ref="W808:X808"/>
    <mergeCell ref="AC808:AD808"/>
    <mergeCell ref="AE808:AF808"/>
    <mergeCell ref="AJ808:AK808"/>
    <mergeCell ref="AU808:AV808"/>
    <mergeCell ref="H809:I809"/>
    <mergeCell ref="J809:K809"/>
    <mergeCell ref="U809:V809"/>
    <mergeCell ref="W809:X809"/>
    <mergeCell ref="AJ809:AK809"/>
    <mergeCell ref="AU809:AV809"/>
    <mergeCell ref="H810:I810"/>
    <mergeCell ref="U810:V810"/>
    <mergeCell ref="W810:X810"/>
    <mergeCell ref="AH810:AI810"/>
    <mergeCell ref="AJ810:AK810"/>
    <mergeCell ref="AU810:AV810"/>
    <mergeCell ref="H811:I811"/>
    <mergeCell ref="U811:V811"/>
    <mergeCell ref="AH811:AI811"/>
    <mergeCell ref="AJ811:AK811"/>
    <mergeCell ref="AU811:AV811"/>
    <mergeCell ref="H812:I812"/>
    <mergeCell ref="U812:V812"/>
    <mergeCell ref="AH812:AI812"/>
    <mergeCell ref="H813:I813"/>
    <mergeCell ref="U813:V813"/>
    <mergeCell ref="AH813:AI813"/>
    <mergeCell ref="H814:I814"/>
    <mergeCell ref="U814:V814"/>
    <mergeCell ref="AH814:AI814"/>
    <mergeCell ref="H815:I815"/>
    <mergeCell ref="U815:V815"/>
    <mergeCell ref="AH815:AI815"/>
    <mergeCell ref="H816:I816"/>
    <mergeCell ref="U816:V816"/>
    <mergeCell ref="AH816:AI816"/>
    <mergeCell ref="AP816:AQ816"/>
    <mergeCell ref="AR816:AS816"/>
    <mergeCell ref="AW816:AX816"/>
    <mergeCell ref="H817:I817"/>
    <mergeCell ref="U817:V817"/>
    <mergeCell ref="AH817:AI817"/>
    <mergeCell ref="AW817:AX817"/>
    <mergeCell ref="H818:I818"/>
    <mergeCell ref="U818:V818"/>
    <mergeCell ref="AH818:AI818"/>
    <mergeCell ref="AU818:AV818"/>
    <mergeCell ref="AW818:AX818"/>
    <mergeCell ref="H819:I819"/>
    <mergeCell ref="U819:V819"/>
    <mergeCell ref="AH819:AI819"/>
    <mergeCell ref="AU819:AV819"/>
    <mergeCell ref="AW819:AX819"/>
    <mergeCell ref="H820:I820"/>
    <mergeCell ref="U820:V820"/>
    <mergeCell ref="AH820:AI820"/>
    <mergeCell ref="AU820:AV820"/>
    <mergeCell ref="H821:I821"/>
    <mergeCell ref="U821:V821"/>
    <mergeCell ref="AH821:AI821"/>
    <mergeCell ref="AU821:AV821"/>
    <mergeCell ref="H822:I822"/>
    <mergeCell ref="U822:V822"/>
    <mergeCell ref="AH822:AI822"/>
    <mergeCell ref="AU822:AV822"/>
    <mergeCell ref="H823:I823"/>
    <mergeCell ref="U823:V823"/>
    <mergeCell ref="AH823:AI823"/>
    <mergeCell ref="AU823:AV823"/>
    <mergeCell ref="H824:I824"/>
    <mergeCell ref="U824:V824"/>
    <mergeCell ref="AH824:AI824"/>
    <mergeCell ref="AU824:AV824"/>
    <mergeCell ref="H825:I825"/>
    <mergeCell ref="U825:V825"/>
    <mergeCell ref="AH825:AI825"/>
    <mergeCell ref="AU825:AV825"/>
    <mergeCell ref="H826:I826"/>
    <mergeCell ref="U826:V826"/>
    <mergeCell ref="AH826:AI826"/>
    <mergeCell ref="AU826:AV826"/>
    <mergeCell ref="H827:I827"/>
    <mergeCell ref="AH827:AI827"/>
    <mergeCell ref="AU827:AV827"/>
    <mergeCell ref="H828:I828"/>
    <mergeCell ref="AH828:AI828"/>
    <mergeCell ref="AU828:AV828"/>
    <mergeCell ref="H829:I829"/>
    <mergeCell ref="AH829:AI829"/>
    <mergeCell ref="AU829:AV829"/>
    <mergeCell ref="H830:I830"/>
    <mergeCell ref="AH830:AI830"/>
    <mergeCell ref="AU830:AV830"/>
    <mergeCell ref="P831:Q831"/>
    <mergeCell ref="R831:S831"/>
    <mergeCell ref="W831:X831"/>
    <mergeCell ref="AH831:AI831"/>
    <mergeCell ref="AU831:AV831"/>
    <mergeCell ref="H832:I832"/>
    <mergeCell ref="W832:X832"/>
    <mergeCell ref="AU832:AV832"/>
    <mergeCell ref="H833:I833"/>
    <mergeCell ref="U833:V833"/>
    <mergeCell ref="W833:X833"/>
    <mergeCell ref="AU833:AV833"/>
    <mergeCell ref="H834:I834"/>
    <mergeCell ref="U834:V834"/>
    <mergeCell ref="W834:X834"/>
    <mergeCell ref="AU834:AV834"/>
    <mergeCell ref="H835:I835"/>
    <mergeCell ref="U835:V835"/>
    <mergeCell ref="H836:I836"/>
    <mergeCell ref="U836:V836"/>
    <mergeCell ref="AC836:AD836"/>
    <mergeCell ref="AE836:AF836"/>
    <mergeCell ref="AJ836:AK836"/>
    <mergeCell ref="H837:I837"/>
    <mergeCell ref="U837:V837"/>
    <mergeCell ref="AJ837:AK837"/>
    <mergeCell ref="H838:I838"/>
    <mergeCell ref="U838:V838"/>
    <mergeCell ref="AH838:AI838"/>
    <mergeCell ref="AJ838:AK838"/>
    <mergeCell ref="U839:V839"/>
    <mergeCell ref="AH839:AI839"/>
    <mergeCell ref="AJ839:AK839"/>
    <mergeCell ref="AP839:AQ839"/>
    <mergeCell ref="AR839:AS839"/>
    <mergeCell ref="AW839:AX839"/>
    <mergeCell ref="U840:V840"/>
    <mergeCell ref="AH840:AI840"/>
    <mergeCell ref="AW840:AX840"/>
    <mergeCell ref="U841:V841"/>
    <mergeCell ref="AH841:AI841"/>
    <mergeCell ref="AU841:AV841"/>
    <mergeCell ref="AW841:AX841"/>
    <mergeCell ref="U842:V842"/>
    <mergeCell ref="AH842:AI842"/>
    <mergeCell ref="AU842:AV842"/>
    <mergeCell ref="AW842:AX842"/>
    <mergeCell ref="C843:D843"/>
    <mergeCell ref="E843:F843"/>
    <mergeCell ref="J843:K843"/>
    <mergeCell ref="U843:V843"/>
    <mergeCell ref="AH843:AI843"/>
    <mergeCell ref="AU843:AV843"/>
    <mergeCell ref="J844:K844"/>
    <mergeCell ref="U844:V844"/>
    <mergeCell ref="AH844:AI844"/>
    <mergeCell ref="AU844:AV844"/>
    <mergeCell ref="H845:I845"/>
    <mergeCell ref="J845:K845"/>
    <mergeCell ref="U845:V845"/>
    <mergeCell ref="AH845:AI845"/>
    <mergeCell ref="AU845:AV845"/>
    <mergeCell ref="H846:I846"/>
    <mergeCell ref="J846:K846"/>
    <mergeCell ref="U846:V846"/>
    <mergeCell ref="AH846:AI846"/>
    <mergeCell ref="AU846:AV846"/>
    <mergeCell ref="H847:I847"/>
    <mergeCell ref="U847:V847"/>
    <mergeCell ref="AH847:AI847"/>
    <mergeCell ref="AU847:AV847"/>
    <mergeCell ref="H848:I848"/>
    <mergeCell ref="U848:V848"/>
    <mergeCell ref="AH848:AI848"/>
    <mergeCell ref="AU848:AV848"/>
    <mergeCell ref="H849:I849"/>
    <mergeCell ref="U849:V849"/>
    <mergeCell ref="AH849:AI849"/>
    <mergeCell ref="AU849:AV849"/>
    <mergeCell ref="H850:I850"/>
    <mergeCell ref="U850:V850"/>
    <mergeCell ref="AH850:AI850"/>
    <mergeCell ref="AU850:AV850"/>
    <mergeCell ref="H851:I851"/>
    <mergeCell ref="U851:V851"/>
    <mergeCell ref="AH851:AI851"/>
    <mergeCell ref="AU851:AV851"/>
    <mergeCell ref="H852:I852"/>
    <mergeCell ref="U852:V852"/>
    <mergeCell ref="AH852:AI852"/>
    <mergeCell ref="AU852:AV852"/>
    <mergeCell ref="H853:I853"/>
    <mergeCell ref="U853:V853"/>
    <mergeCell ref="AH853:AI853"/>
    <mergeCell ref="AU853:AV853"/>
    <mergeCell ref="H854:I854"/>
    <mergeCell ref="U854:V854"/>
    <mergeCell ref="AH854:AI854"/>
    <mergeCell ref="AU854:AV854"/>
    <mergeCell ref="H855:I855"/>
    <mergeCell ref="U855:V855"/>
    <mergeCell ref="AH855:AI855"/>
    <mergeCell ref="AU855:AV855"/>
    <mergeCell ref="H856:I856"/>
    <mergeCell ref="U856:V856"/>
    <mergeCell ref="AH856:AI856"/>
    <mergeCell ref="AU856:AV856"/>
    <mergeCell ref="H857:I857"/>
    <mergeCell ref="U857:V857"/>
    <mergeCell ref="AH857:AI857"/>
    <mergeCell ref="AU857:AV857"/>
    <mergeCell ref="H858:I858"/>
    <mergeCell ref="U858:V858"/>
    <mergeCell ref="AU858:AV858"/>
    <mergeCell ref="H859:I859"/>
    <mergeCell ref="U859:V859"/>
    <mergeCell ref="AU859:AV859"/>
    <mergeCell ref="H860:I860"/>
    <mergeCell ref="U860:V860"/>
    <mergeCell ref="AU860:AV860"/>
    <mergeCell ref="H861:I861"/>
    <mergeCell ref="AU861:AV861"/>
    <mergeCell ref="H862:I862"/>
    <mergeCell ref="AC862:AD862"/>
    <mergeCell ref="AE862:AF862"/>
    <mergeCell ref="AJ862:AK862"/>
    <mergeCell ref="H863:I863"/>
    <mergeCell ref="AJ863:AK863"/>
    <mergeCell ref="H864:I864"/>
    <mergeCell ref="AH864:AI864"/>
    <mergeCell ref="AJ864:AK864"/>
    <mergeCell ref="H865:I865"/>
    <mergeCell ref="AH865:AI865"/>
    <mergeCell ref="AJ865:AK865"/>
    <mergeCell ref="H866:I866"/>
    <mergeCell ref="AH866:AI866"/>
    <mergeCell ref="AP866:AQ866"/>
    <mergeCell ref="AR866:AS866"/>
    <mergeCell ref="AW866:AX866"/>
    <mergeCell ref="H867:I867"/>
    <mergeCell ref="AH867:AI867"/>
    <mergeCell ref="AW867:AX867"/>
    <mergeCell ref="AH868:AI868"/>
    <mergeCell ref="AU868:AV868"/>
    <mergeCell ref="AW868:AX868"/>
    <mergeCell ref="H869:I869"/>
    <mergeCell ref="AH869:AI869"/>
    <mergeCell ref="AU869:AV869"/>
    <mergeCell ref="AW869:AX869"/>
    <mergeCell ref="H870:I870"/>
    <mergeCell ref="AH870:AI870"/>
    <mergeCell ref="AU870:AV870"/>
    <mergeCell ref="AH871:AI871"/>
    <mergeCell ref="AU871:AV871"/>
    <mergeCell ref="AH872:AI872"/>
    <mergeCell ref="AU872:AV872"/>
    <mergeCell ref="AH873:AI873"/>
    <mergeCell ref="AU873:AV873"/>
    <mergeCell ref="C874:D874"/>
    <mergeCell ref="E874:F874"/>
    <mergeCell ref="J874:K874"/>
    <mergeCell ref="AH874:AI874"/>
    <mergeCell ref="AU874:AV874"/>
    <mergeCell ref="J875:K875"/>
    <mergeCell ref="AH875:AI875"/>
    <mergeCell ref="AU875:AV875"/>
    <mergeCell ref="H876:I876"/>
    <mergeCell ref="J876:K876"/>
    <mergeCell ref="AH876:AI876"/>
    <mergeCell ref="AU876:AV876"/>
    <mergeCell ref="H877:I877"/>
    <mergeCell ref="J877:K877"/>
    <mergeCell ref="AH877:AI877"/>
    <mergeCell ref="AU877:AV877"/>
    <mergeCell ref="H878:I878"/>
    <mergeCell ref="AH878:AI878"/>
    <mergeCell ref="AU878:AV878"/>
    <mergeCell ref="H879:I879"/>
    <mergeCell ref="AH879:AI879"/>
    <mergeCell ref="AU879:AV879"/>
    <mergeCell ref="H880:I880"/>
    <mergeCell ref="AH880:AI880"/>
    <mergeCell ref="AU880:AV880"/>
    <mergeCell ref="H881:I881"/>
    <mergeCell ref="AH881:AI881"/>
    <mergeCell ref="AU881:AV881"/>
    <mergeCell ref="H882:I882"/>
    <mergeCell ref="AH882:AI882"/>
    <mergeCell ref="AU882:AV882"/>
    <mergeCell ref="H883:I883"/>
    <mergeCell ref="AH883:AI883"/>
    <mergeCell ref="AU883:AV883"/>
    <mergeCell ref="H884:I884"/>
    <mergeCell ref="AH884:AI884"/>
    <mergeCell ref="AU884:AV884"/>
    <mergeCell ref="H885:I885"/>
    <mergeCell ref="AU885:AV885"/>
    <mergeCell ref="H886:I886"/>
    <mergeCell ref="AU886:AV886"/>
    <mergeCell ref="H887:I887"/>
    <mergeCell ref="AU887:AV887"/>
    <mergeCell ref="H888:I888"/>
    <mergeCell ref="AU888:AV888"/>
    <mergeCell ref="H889:I889"/>
    <mergeCell ref="AU889:AV889"/>
    <mergeCell ref="H890:I890"/>
    <mergeCell ref="AU890:AV890"/>
    <mergeCell ref="H891:I891"/>
    <mergeCell ref="H892:I892"/>
    <mergeCell ref="H893:I893"/>
    <mergeCell ref="H894:I894"/>
    <mergeCell ref="H895:I895"/>
    <mergeCell ref="H896:I896"/>
    <mergeCell ref="H897:I897"/>
    <mergeCell ref="H899:I899"/>
    <mergeCell ref="H900:I900"/>
    <mergeCell ref="C905:D905"/>
    <mergeCell ref="E905:F905"/>
    <mergeCell ref="J905:K905"/>
    <mergeCell ref="J906:K906"/>
    <mergeCell ref="H907:I907"/>
    <mergeCell ref="J907:K907"/>
    <mergeCell ref="H908:I908"/>
    <mergeCell ref="J908:K908"/>
    <mergeCell ref="H909:I909"/>
    <mergeCell ref="H910:I910"/>
    <mergeCell ref="H911:I911"/>
    <mergeCell ref="H912:I912"/>
    <mergeCell ref="H913:I913"/>
    <mergeCell ref="H914:I914"/>
    <mergeCell ref="H915:I915"/>
    <mergeCell ref="H916:I916"/>
    <mergeCell ref="H917:I917"/>
    <mergeCell ref="H918:I918"/>
    <mergeCell ref="H919:I919"/>
    <mergeCell ref="H920:I920"/>
    <mergeCell ref="H921:I921"/>
    <mergeCell ref="H922:I922"/>
    <mergeCell ref="H923:I923"/>
    <mergeCell ref="H924:I924"/>
    <mergeCell ref="H925:I925"/>
    <mergeCell ref="H926:I926"/>
    <mergeCell ref="H927:I927"/>
    <mergeCell ref="H928:I928"/>
    <mergeCell ref="H929:I929"/>
    <mergeCell ref="H930:I930"/>
    <mergeCell ref="H931:I931"/>
    <mergeCell ref="C936:D936"/>
    <mergeCell ref="E936:F936"/>
    <mergeCell ref="J936:K936"/>
    <mergeCell ref="J937:K937"/>
    <mergeCell ref="H938:I938"/>
    <mergeCell ref="J938:K938"/>
    <mergeCell ref="H939:I939"/>
    <mergeCell ref="J939:K939"/>
    <mergeCell ref="H940:I940"/>
    <mergeCell ref="H941:I941"/>
    <mergeCell ref="H942:I942"/>
    <mergeCell ref="H943:I943"/>
    <mergeCell ref="H944:I944"/>
    <mergeCell ref="H945:I945"/>
    <mergeCell ref="H946:I946"/>
    <mergeCell ref="H947:I947"/>
    <mergeCell ref="H948:I948"/>
    <mergeCell ref="H949:I949"/>
    <mergeCell ref="H950:I950"/>
    <mergeCell ref="H951:I951"/>
    <mergeCell ref="H952:I952"/>
    <mergeCell ref="H953:I953"/>
    <mergeCell ref="H954:I954"/>
    <mergeCell ref="H955:I955"/>
    <mergeCell ref="H956:I956"/>
    <mergeCell ref="H957:I957"/>
    <mergeCell ref="H958:I958"/>
    <mergeCell ref="H959:I959"/>
    <mergeCell ref="H960:I960"/>
    <mergeCell ref="H962:I962"/>
    <mergeCell ref="H963:I963"/>
    <mergeCell ref="C968:D968"/>
    <mergeCell ref="E968:F968"/>
    <mergeCell ref="J968:K968"/>
    <mergeCell ref="J969:K969"/>
    <mergeCell ref="H970:I970"/>
    <mergeCell ref="J970:K970"/>
    <mergeCell ref="H971:I971"/>
    <mergeCell ref="J971:K971"/>
    <mergeCell ref="H972:I972"/>
    <mergeCell ref="H973:I973"/>
    <mergeCell ref="H974:I974"/>
    <mergeCell ref="H975:I975"/>
    <mergeCell ref="H976:I976"/>
    <mergeCell ref="H977:I977"/>
    <mergeCell ref="H978:I978"/>
    <mergeCell ref="H979:I979"/>
    <mergeCell ref="H980:I980"/>
    <mergeCell ref="H981:I981"/>
    <mergeCell ref="H982:I982"/>
    <mergeCell ref="H983:I983"/>
    <mergeCell ref="H984:I984"/>
    <mergeCell ref="H985:I985"/>
    <mergeCell ref="H986:I986"/>
    <mergeCell ref="H987:I987"/>
    <mergeCell ref="C992:D992"/>
    <mergeCell ref="E992:F992"/>
    <mergeCell ref="J992:K992"/>
    <mergeCell ref="J993:K993"/>
    <mergeCell ref="H994:I994"/>
    <mergeCell ref="J994:K994"/>
    <mergeCell ref="H995:I995"/>
    <mergeCell ref="J995:K995"/>
    <mergeCell ref="H996:I996"/>
    <mergeCell ref="H997:I997"/>
    <mergeCell ref="H998:I998"/>
    <mergeCell ref="H999:I999"/>
    <mergeCell ref="H1000:I1000"/>
    <mergeCell ref="H1001:I1001"/>
    <mergeCell ref="H1002:I1002"/>
    <mergeCell ref="H1003:I1003"/>
    <mergeCell ref="H1004:I1004"/>
    <mergeCell ref="H1005:I1005"/>
    <mergeCell ref="H1006:I1006"/>
    <mergeCell ref="H1007:I1007"/>
    <mergeCell ref="H1008:I1008"/>
    <mergeCell ref="H1009:I1009"/>
    <mergeCell ref="H1010:I1010"/>
    <mergeCell ref="H1011:I1011"/>
    <mergeCell ref="H1012:I1012"/>
    <mergeCell ref="H1013:I1013"/>
    <mergeCell ref="H1014:I1014"/>
    <mergeCell ref="H1015:I1015"/>
    <mergeCell ref="H1017:I1017"/>
    <mergeCell ref="H1018:I1018"/>
    <mergeCell ref="EX1107:EY1107"/>
    <mergeCell ref="EX1108:EY1108"/>
    <mergeCell ref="EX1109:EY1109"/>
    <mergeCell ref="EX1110:EY1110"/>
    <mergeCell ref="EX1111:EY1111"/>
    <mergeCell ref="EX1112:EY1112"/>
    <mergeCell ref="EX1113:EY1113"/>
    <mergeCell ref="EX1114:EY1114"/>
    <mergeCell ref="EX1115:EY1115"/>
    <mergeCell ref="EX1116:EY1116"/>
    <mergeCell ref="EX1117:EY1117"/>
    <mergeCell ref="EX1118:EY1118"/>
    <mergeCell ref="EX1119:EY1119"/>
    <mergeCell ref="EX1120:EY1120"/>
    <mergeCell ref="EX1121:EY1121"/>
    <mergeCell ref="EX1122:EY1122"/>
    <mergeCell ref="EX1123:EY1123"/>
    <mergeCell ref="EX1124:EY1124"/>
    <mergeCell ref="EX1125:EY1125"/>
    <mergeCell ref="EX1126:EY1126"/>
    <mergeCell ref="EX1127:EY1127"/>
    <mergeCell ref="EX1128:EY1128"/>
    <mergeCell ref="EX1129:EY1129"/>
    <mergeCell ref="EX1130:EY1130"/>
    <mergeCell ref="EX1131:EY1131"/>
    <mergeCell ref="EX1132:EY1132"/>
    <mergeCell ref="B3:B4"/>
    <mergeCell ref="B53:B54"/>
    <mergeCell ref="B85:B86"/>
    <mergeCell ref="B134:B135"/>
    <mergeCell ref="B169:B170"/>
    <mergeCell ref="B194:B195"/>
    <mergeCell ref="B225:B226"/>
    <mergeCell ref="B256:B257"/>
    <mergeCell ref="B287:B288"/>
    <mergeCell ref="B318:B319"/>
    <mergeCell ref="B352:B353"/>
    <mergeCell ref="B384:B385"/>
    <mergeCell ref="B416:B417"/>
    <mergeCell ref="B448:B449"/>
    <mergeCell ref="B480:B481"/>
    <mergeCell ref="B512:B513"/>
    <mergeCell ref="B544:B545"/>
    <mergeCell ref="B576:B577"/>
    <mergeCell ref="B610:B611"/>
    <mergeCell ref="B644:B645"/>
    <mergeCell ref="B676:B677"/>
    <mergeCell ref="B708:B709"/>
    <mergeCell ref="B740:B741"/>
    <mergeCell ref="B772:B773"/>
    <mergeCell ref="B806:B807"/>
    <mergeCell ref="B843:B844"/>
    <mergeCell ref="B874:B875"/>
    <mergeCell ref="B905:B906"/>
    <mergeCell ref="B936:B937"/>
    <mergeCell ref="B968:B969"/>
    <mergeCell ref="B992:B993"/>
    <mergeCell ref="O3:O4"/>
    <mergeCell ref="O46:O47"/>
    <mergeCell ref="O89:O90"/>
    <mergeCell ref="O117:O118"/>
    <mergeCell ref="O146:O147"/>
    <mergeCell ref="O175:O176"/>
    <mergeCell ref="O202:O203"/>
    <mergeCell ref="O245:O246"/>
    <mergeCell ref="O273:O274"/>
    <mergeCell ref="O302:O303"/>
    <mergeCell ref="O331:O332"/>
    <mergeCell ref="O358:O359"/>
    <mergeCell ref="O383:O384"/>
    <mergeCell ref="O415:O416"/>
    <mergeCell ref="O460:O461"/>
    <mergeCell ref="O496:O497"/>
    <mergeCell ref="O523:O524"/>
    <mergeCell ref="O553:O554"/>
    <mergeCell ref="O587:O588"/>
    <mergeCell ref="O614:O615"/>
    <mergeCell ref="O645:O646"/>
    <mergeCell ref="O688:O689"/>
    <mergeCell ref="O710:O711"/>
    <mergeCell ref="O736:O737"/>
    <mergeCell ref="O760:O761"/>
    <mergeCell ref="O783:O784"/>
    <mergeCell ref="O807:O808"/>
    <mergeCell ref="O831:O832"/>
    <mergeCell ref="AB3:AB4"/>
    <mergeCell ref="AB34:AB35"/>
    <mergeCell ref="AB60:AB61"/>
    <mergeCell ref="AB89:AB90"/>
    <mergeCell ref="AB117:AB118"/>
    <mergeCell ref="AB141:AB142"/>
    <mergeCell ref="AB165:AB166"/>
    <mergeCell ref="AB194:AB195"/>
    <mergeCell ref="AB222:AB223"/>
    <mergeCell ref="AB249:AB250"/>
    <mergeCell ref="AB275:AB276"/>
    <mergeCell ref="AB301:AB302"/>
    <mergeCell ref="AB332:AB333"/>
    <mergeCell ref="AB359:AB360"/>
    <mergeCell ref="AB395:AB396"/>
    <mergeCell ref="AB420:AB421"/>
    <mergeCell ref="AB449:AB450"/>
    <mergeCell ref="AB474:AB475"/>
    <mergeCell ref="AB498:AB499"/>
    <mergeCell ref="AB524:AB525"/>
    <mergeCell ref="AB548:AB549"/>
    <mergeCell ref="AB587:AB588"/>
    <mergeCell ref="AB617:AB618"/>
    <mergeCell ref="AB651:AB652"/>
    <mergeCell ref="AB682:AB683"/>
    <mergeCell ref="AB703:AB704"/>
    <mergeCell ref="AB738:AB739"/>
    <mergeCell ref="AB783:AB784"/>
    <mergeCell ref="AB808:AB809"/>
    <mergeCell ref="AB836:AB837"/>
    <mergeCell ref="AB862:AB863"/>
    <mergeCell ref="AO3:AO4"/>
    <mergeCell ref="AO26:AO27"/>
    <mergeCell ref="AO59:AO60"/>
    <mergeCell ref="AO94:AO95"/>
    <mergeCell ref="AO129:AO130"/>
    <mergeCell ref="AO160:AO161"/>
    <mergeCell ref="AO188:AO189"/>
    <mergeCell ref="AO219:AO220"/>
    <mergeCell ref="AO246:AO247"/>
    <mergeCell ref="AO275:AO276"/>
    <mergeCell ref="AO304:AO305"/>
    <mergeCell ref="AO337:AO338"/>
    <mergeCell ref="AO366:AO367"/>
    <mergeCell ref="AO397:AO398"/>
    <mergeCell ref="AO427:AO428"/>
    <mergeCell ref="AO453:AO454"/>
    <mergeCell ref="AO479:AO480"/>
    <mergeCell ref="AO506:AO507"/>
    <mergeCell ref="AO538:AO539"/>
    <mergeCell ref="AO567:AO568"/>
    <mergeCell ref="AO594:AO595"/>
    <mergeCell ref="AO629:AO630"/>
    <mergeCell ref="AO654:AO655"/>
    <mergeCell ref="AO683:AO684"/>
    <mergeCell ref="AO711:AO712"/>
    <mergeCell ref="AO740:AO741"/>
    <mergeCell ref="AO771:AO772"/>
    <mergeCell ref="AO816:AO817"/>
    <mergeCell ref="AO839:AO840"/>
    <mergeCell ref="AO866:AO867"/>
    <mergeCell ref="BB3:BB4"/>
    <mergeCell ref="BB26:BB27"/>
    <mergeCell ref="BB55:BB56"/>
    <mergeCell ref="BB86:BB87"/>
    <mergeCell ref="BB113:BB114"/>
    <mergeCell ref="BB137:BB138"/>
    <mergeCell ref="BB162:BB163"/>
    <mergeCell ref="BB188:BB189"/>
    <mergeCell ref="BB215:BB216"/>
    <mergeCell ref="BB242:BB243"/>
    <mergeCell ref="BB263:BB264"/>
    <mergeCell ref="BB291:BB292"/>
    <mergeCell ref="BB319:BB320"/>
    <mergeCell ref="BB347:BB348"/>
    <mergeCell ref="BB374:BB375"/>
    <mergeCell ref="BB401:BB402"/>
    <mergeCell ref="BB428:BB429"/>
    <mergeCell ref="BB455:BB456"/>
    <mergeCell ref="BB484:BB485"/>
    <mergeCell ref="BB513:BB514"/>
    <mergeCell ref="BB543:BB544"/>
    <mergeCell ref="BB572:BB573"/>
    <mergeCell ref="BB600:BB601"/>
    <mergeCell ref="BB629:BB630"/>
    <mergeCell ref="BP3:BP4"/>
    <mergeCell ref="CC3:CC4"/>
    <mergeCell ref="CP3:CP4"/>
    <mergeCell ref="DC3:DC4"/>
    <mergeCell ref="DP3:DP4"/>
    <mergeCell ref="EC3:EC4"/>
    <mergeCell ref="EP3:EP4"/>
    <mergeCell ref="T3:V4"/>
    <mergeCell ref="BG3:BI4"/>
    <mergeCell ref="CH3:CJ4"/>
    <mergeCell ref="DU3:DW4"/>
    <mergeCell ref="G3:I4"/>
    <mergeCell ref="AT3:AV4"/>
    <mergeCell ref="BU3:BW4"/>
    <mergeCell ref="DH3:DJ4"/>
    <mergeCell ref="EU3:EW4"/>
    <mergeCell ref="B1:L2"/>
    <mergeCell ref="BP1:BZ2"/>
    <mergeCell ref="O1:Y2"/>
    <mergeCell ref="CC1:CM2"/>
    <mergeCell ref="AG3:AI4"/>
    <mergeCell ref="CU3:CW4"/>
    <mergeCell ref="EH3:EJ4"/>
    <mergeCell ref="AB1:AL2"/>
    <mergeCell ref="CP1:CZ2"/>
    <mergeCell ref="AO1:AY2"/>
    <mergeCell ref="DC1:DM2"/>
    <mergeCell ref="BB1:BL2"/>
    <mergeCell ref="DP1:DZ2"/>
    <mergeCell ref="EC1:EM2"/>
    <mergeCell ref="EP1:EZ2"/>
    <mergeCell ref="B51:L52"/>
    <mergeCell ref="G53:I54"/>
    <mergeCell ref="B83:L84"/>
    <mergeCell ref="G85:I86"/>
    <mergeCell ref="G134:I135"/>
    <mergeCell ref="B132:L133"/>
    <mergeCell ref="B167:L168"/>
    <mergeCell ref="G169:I170"/>
    <mergeCell ref="B192:L193"/>
    <mergeCell ref="G194:I195"/>
    <mergeCell ref="G225:I226"/>
    <mergeCell ref="B223:L224"/>
    <mergeCell ref="G256:I257"/>
    <mergeCell ref="B254:L255"/>
    <mergeCell ref="G287:I288"/>
    <mergeCell ref="B285:L286"/>
    <mergeCell ref="G318:I319"/>
    <mergeCell ref="B316:L317"/>
    <mergeCell ref="G352:I353"/>
    <mergeCell ref="B350:L351"/>
    <mergeCell ref="G384:I385"/>
    <mergeCell ref="B382:L383"/>
    <mergeCell ref="B414:L415"/>
    <mergeCell ref="G416:I417"/>
    <mergeCell ref="B446:L447"/>
    <mergeCell ref="G448:I449"/>
    <mergeCell ref="B478:L479"/>
    <mergeCell ref="G480:I481"/>
    <mergeCell ref="B510:L511"/>
    <mergeCell ref="G512:I513"/>
    <mergeCell ref="G544:I545"/>
    <mergeCell ref="B542:L543"/>
    <mergeCell ref="B574:L575"/>
    <mergeCell ref="G576:I577"/>
    <mergeCell ref="O44:Y45"/>
    <mergeCell ref="T46:V47"/>
    <mergeCell ref="G610:I611"/>
    <mergeCell ref="B608:L609"/>
    <mergeCell ref="AB32:AL33"/>
    <mergeCell ref="AG34:AI35"/>
    <mergeCell ref="AG60:AI61"/>
    <mergeCell ref="AB546:AL547"/>
    <mergeCell ref="AG548:AI549"/>
    <mergeCell ref="AB447:AL448"/>
    <mergeCell ref="AG449:AI450"/>
    <mergeCell ref="AB472:AL473"/>
    <mergeCell ref="AG474:AI475"/>
    <mergeCell ref="AB496:AL497"/>
    <mergeCell ref="AG498:AI499"/>
    <mergeCell ref="AB522:AL523"/>
    <mergeCell ref="AG524:AI525"/>
    <mergeCell ref="AB585:AL586"/>
    <mergeCell ref="AG587:AI588"/>
    <mergeCell ref="AB615:AL616"/>
    <mergeCell ref="AG617:AI618"/>
    <mergeCell ref="AG89:AI90"/>
    <mergeCell ref="AB87:AL88"/>
    <mergeCell ref="AG117:AI118"/>
    <mergeCell ref="AB115:AL116"/>
    <mergeCell ref="AB139:AL140"/>
    <mergeCell ref="AG141:AI142"/>
    <mergeCell ref="AB163:AL164"/>
    <mergeCell ref="AG165:AI166"/>
    <mergeCell ref="AB192:AL193"/>
    <mergeCell ref="AG194:AI195"/>
    <mergeCell ref="AB220:AL221"/>
    <mergeCell ref="AG222:AI223"/>
    <mergeCell ref="AB247:AL248"/>
    <mergeCell ref="AG249:AI250"/>
    <mergeCell ref="AB273:AL274"/>
    <mergeCell ref="AG275:AI276"/>
    <mergeCell ref="AB299:AL300"/>
    <mergeCell ref="AG301:AI302"/>
    <mergeCell ref="AB330:AL331"/>
    <mergeCell ref="AG332:AI333"/>
    <mergeCell ref="AB357:AL358"/>
    <mergeCell ref="AG359:AI360"/>
    <mergeCell ref="AB418:AL419"/>
    <mergeCell ref="AG420:AI421"/>
    <mergeCell ref="AB393:AL394"/>
    <mergeCell ref="AG395:AI396"/>
    <mergeCell ref="O329:Y330"/>
    <mergeCell ref="T331:V332"/>
    <mergeCell ref="O87:Y88"/>
    <mergeCell ref="T89:V90"/>
    <mergeCell ref="O115:Y116"/>
    <mergeCell ref="T117:V118"/>
    <mergeCell ref="O144:Y145"/>
    <mergeCell ref="T146:V147"/>
    <mergeCell ref="O173:Y174"/>
    <mergeCell ref="T175:V176"/>
    <mergeCell ref="O356:Y357"/>
    <mergeCell ref="T358:V359"/>
    <mergeCell ref="O200:Y201"/>
    <mergeCell ref="T202:V203"/>
    <mergeCell ref="O243:Y244"/>
    <mergeCell ref="T245:V246"/>
    <mergeCell ref="O300:Y301"/>
    <mergeCell ref="T302:V303"/>
    <mergeCell ref="O271:Y272"/>
    <mergeCell ref="T273:V274"/>
    <mergeCell ref="O381:Y382"/>
    <mergeCell ref="T383:V384"/>
    <mergeCell ref="O413:Y414"/>
    <mergeCell ref="T415:V416"/>
    <mergeCell ref="O458:Y459"/>
    <mergeCell ref="T460:V461"/>
    <mergeCell ref="O494:Y495"/>
    <mergeCell ref="T496:V497"/>
    <mergeCell ref="O521:Y522"/>
    <mergeCell ref="T523:V524"/>
    <mergeCell ref="O612:Y613"/>
    <mergeCell ref="T614:V615"/>
    <mergeCell ref="O585:Y586"/>
    <mergeCell ref="T587:V588"/>
    <mergeCell ref="O551:Y552"/>
    <mergeCell ref="T553:V554"/>
    <mergeCell ref="AT479:AV480"/>
    <mergeCell ref="AO273:AY274"/>
    <mergeCell ref="AT275:AV276"/>
    <mergeCell ref="AO24:AY25"/>
    <mergeCell ref="AT26:AV27"/>
    <mergeCell ref="AO57:AY58"/>
    <mergeCell ref="AT59:AV60"/>
    <mergeCell ref="AO335:AY336"/>
    <mergeCell ref="AT337:AV338"/>
    <mergeCell ref="AO92:AY93"/>
    <mergeCell ref="AT94:AV95"/>
    <mergeCell ref="AO127:AY128"/>
    <mergeCell ref="AT129:AV130"/>
    <mergeCell ref="AO158:AY159"/>
    <mergeCell ref="AT160:AV161"/>
    <mergeCell ref="AT219:AV220"/>
    <mergeCell ref="AO217:AY218"/>
    <mergeCell ref="AT188:AV189"/>
    <mergeCell ref="AO186:AY187"/>
    <mergeCell ref="AT246:AV247"/>
    <mergeCell ref="AO244:AY245"/>
    <mergeCell ref="AO302:AY303"/>
    <mergeCell ref="AT304:AV305"/>
    <mergeCell ref="AO364:AY365"/>
    <mergeCell ref="AT366:AV367"/>
    <mergeCell ref="AO395:AY396"/>
    <mergeCell ref="AT397:AV398"/>
    <mergeCell ref="AO425:AY426"/>
    <mergeCell ref="AT427:AV428"/>
    <mergeCell ref="AO451:AY452"/>
    <mergeCell ref="AT453:AV454"/>
    <mergeCell ref="AT506:AV507"/>
    <mergeCell ref="AT538:AV539"/>
    <mergeCell ref="AO477:AY478"/>
    <mergeCell ref="AO504:AY505"/>
    <mergeCell ref="AO536:AY537"/>
    <mergeCell ref="AO565:AY566"/>
    <mergeCell ref="AT567:AV568"/>
    <mergeCell ref="AO592:AY593"/>
    <mergeCell ref="AT594:AV595"/>
    <mergeCell ref="BB24:BL25"/>
    <mergeCell ref="BG26:BI27"/>
    <mergeCell ref="BB53:BL54"/>
    <mergeCell ref="BG55:BI56"/>
    <mergeCell ref="BG86:BI87"/>
    <mergeCell ref="BB84:BL85"/>
    <mergeCell ref="BB111:BL112"/>
    <mergeCell ref="BG113:BI114"/>
    <mergeCell ref="BB135:BL136"/>
    <mergeCell ref="BG137:BI138"/>
    <mergeCell ref="BB160:BL161"/>
    <mergeCell ref="BG162:BI163"/>
    <mergeCell ref="BB186:BL187"/>
    <mergeCell ref="BG188:BI189"/>
    <mergeCell ref="BB213:BL214"/>
    <mergeCell ref="BG215:BI216"/>
    <mergeCell ref="BB240:BL241"/>
    <mergeCell ref="BG242:BI243"/>
    <mergeCell ref="BB261:BL262"/>
    <mergeCell ref="BG263:BI264"/>
    <mergeCell ref="BB289:BL290"/>
    <mergeCell ref="BG291:BI292"/>
    <mergeCell ref="BB317:BL318"/>
    <mergeCell ref="BG319:BI320"/>
    <mergeCell ref="BB345:BL346"/>
    <mergeCell ref="BG347:BI348"/>
    <mergeCell ref="BB372:BL373"/>
    <mergeCell ref="BG374:BI375"/>
    <mergeCell ref="BB399:BL400"/>
    <mergeCell ref="BG401:BI402"/>
    <mergeCell ref="BB426:BL427"/>
    <mergeCell ref="BG428:BI429"/>
    <mergeCell ref="BB453:BL454"/>
    <mergeCell ref="BG455:BI456"/>
    <mergeCell ref="BB482:BL483"/>
    <mergeCell ref="BG484:BI485"/>
    <mergeCell ref="BB511:BL512"/>
    <mergeCell ref="BG513:BI514"/>
    <mergeCell ref="BB541:BL542"/>
    <mergeCell ref="BG543:BI544"/>
    <mergeCell ref="BB570:BL571"/>
    <mergeCell ref="BG572:BI573"/>
    <mergeCell ref="BB598:BL599"/>
    <mergeCell ref="BG600:BI601"/>
    <mergeCell ref="AT771:AV772"/>
    <mergeCell ref="G644:I645"/>
    <mergeCell ref="B642:L643"/>
    <mergeCell ref="G676:I677"/>
    <mergeCell ref="G708:I709"/>
    <mergeCell ref="B706:L707"/>
    <mergeCell ref="B674:L675"/>
    <mergeCell ref="G740:I741"/>
    <mergeCell ref="AT740:AV741"/>
    <mergeCell ref="B738:L739"/>
    <mergeCell ref="B770:L771"/>
    <mergeCell ref="G772:I773"/>
    <mergeCell ref="B804:L805"/>
    <mergeCell ref="G806:I807"/>
    <mergeCell ref="B841:L842"/>
    <mergeCell ref="G843:I844"/>
    <mergeCell ref="B872:L873"/>
    <mergeCell ref="G874:I875"/>
    <mergeCell ref="B903:L904"/>
    <mergeCell ref="G905:I906"/>
    <mergeCell ref="AB649:AL650"/>
    <mergeCell ref="AG651:AI652"/>
    <mergeCell ref="AG682:AI683"/>
    <mergeCell ref="AB680:AL681"/>
    <mergeCell ref="AG703:AI704"/>
    <mergeCell ref="AB701:AL702"/>
    <mergeCell ref="AG738:AI739"/>
    <mergeCell ref="AB736:AL737"/>
    <mergeCell ref="AG783:AI784"/>
    <mergeCell ref="AB781:AL782"/>
    <mergeCell ref="G968:I969"/>
    <mergeCell ref="G992:I993"/>
    <mergeCell ref="B934:L935"/>
    <mergeCell ref="G936:I937"/>
    <mergeCell ref="B966:L967"/>
    <mergeCell ref="B990:L991"/>
    <mergeCell ref="O805:Y806"/>
    <mergeCell ref="T807:V808"/>
    <mergeCell ref="O781:Y782"/>
    <mergeCell ref="T783:V784"/>
    <mergeCell ref="O734:Y735"/>
    <mergeCell ref="T736:V737"/>
    <mergeCell ref="O708:Y709"/>
    <mergeCell ref="T710:V711"/>
    <mergeCell ref="O686:Y687"/>
    <mergeCell ref="T688:V689"/>
    <mergeCell ref="O758:Y759"/>
    <mergeCell ref="T760:V761"/>
    <mergeCell ref="O643:Y644"/>
    <mergeCell ref="T645:V646"/>
    <mergeCell ref="O829:Y830"/>
    <mergeCell ref="T831:V832"/>
    <mergeCell ref="AB834:AL835"/>
    <mergeCell ref="AG836:AI837"/>
    <mergeCell ref="AB806:AL807"/>
    <mergeCell ref="AG808:AI809"/>
    <mergeCell ref="AB860:AL861"/>
    <mergeCell ref="AG862:AI863"/>
    <mergeCell ref="AO627:AY628"/>
    <mergeCell ref="AT629:AV630"/>
    <mergeCell ref="AO652:AY653"/>
    <mergeCell ref="AT654:AV655"/>
    <mergeCell ref="AO681:AY682"/>
    <mergeCell ref="AT683:AV684"/>
    <mergeCell ref="AO709:AY710"/>
    <mergeCell ref="AT711:AV712"/>
    <mergeCell ref="AO738:AY739"/>
    <mergeCell ref="AO769:AY770"/>
    <mergeCell ref="AO814:AY815"/>
    <mergeCell ref="AT816:AV817"/>
    <mergeCell ref="AO864:AY865"/>
    <mergeCell ref="AT866:AV867"/>
    <mergeCell ref="AO837:AY838"/>
    <mergeCell ref="AT839:AV840"/>
    <mergeCell ref="BB627:BL628"/>
    <mergeCell ref="BG629:BI630"/>
  </mergeCells>
  <pageMargins left="0.7" right="0.7" top="0.75" bottom="0.75" header="0.3" footer="0.3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</sheetPr>
  <dimension ref="B2:BH36"/>
  <sheetViews>
    <sheetView topLeftCell="AP4" workbookViewId="0">
      <selection activeCell="AX18" sqref="AX18"/>
    </sheetView>
  </sheetViews>
  <sheetFormatPr defaultColWidth="11" defaultRowHeight="15"/>
  <cols>
    <col min="3" max="3" width="11.4285714285714" style="25" customWidth="1"/>
    <col min="4" max="4" width="11.4285714285714" style="25"/>
  </cols>
  <sheetData>
    <row r="2" spans="2:60">
      <c r="B2" s="26" t="s">
        <v>382</v>
      </c>
      <c r="C2" s="27" t="s">
        <v>383</v>
      </c>
      <c r="D2" s="28" t="s">
        <v>384</v>
      </c>
      <c r="E2" s="29" t="s">
        <v>385</v>
      </c>
      <c r="G2" s="26" t="s">
        <v>386</v>
      </c>
      <c r="H2" s="27" t="s">
        <v>383</v>
      </c>
      <c r="I2" s="28" t="s">
        <v>384</v>
      </c>
      <c r="J2" s="29" t="s">
        <v>385</v>
      </c>
      <c r="L2" s="26" t="s">
        <v>387</v>
      </c>
      <c r="M2" s="27" t="s">
        <v>383</v>
      </c>
      <c r="N2" s="28" t="s">
        <v>384</v>
      </c>
      <c r="O2" s="29" t="s">
        <v>385</v>
      </c>
      <c r="Q2" s="26" t="s">
        <v>388</v>
      </c>
      <c r="R2" s="27" t="s">
        <v>383</v>
      </c>
      <c r="S2" s="28" t="s">
        <v>384</v>
      </c>
      <c r="T2" s="29" t="s">
        <v>385</v>
      </c>
      <c r="V2" s="26" t="s">
        <v>389</v>
      </c>
      <c r="W2" s="27" t="s">
        <v>383</v>
      </c>
      <c r="X2" s="28" t="s">
        <v>384</v>
      </c>
      <c r="Y2" s="29" t="s">
        <v>385</v>
      </c>
      <c r="AA2" s="26" t="s">
        <v>390</v>
      </c>
      <c r="AB2" s="27" t="s">
        <v>383</v>
      </c>
      <c r="AC2" s="28" t="s">
        <v>384</v>
      </c>
      <c r="AD2" s="29" t="s">
        <v>385</v>
      </c>
      <c r="AF2" s="26" t="s">
        <v>391</v>
      </c>
      <c r="AG2" s="27" t="s">
        <v>383</v>
      </c>
      <c r="AH2" s="28" t="s">
        <v>384</v>
      </c>
      <c r="AI2" s="29" t="s">
        <v>385</v>
      </c>
      <c r="AK2" s="26" t="s">
        <v>392</v>
      </c>
      <c r="AL2" s="27" t="s">
        <v>383</v>
      </c>
      <c r="AM2" s="28" t="s">
        <v>384</v>
      </c>
      <c r="AN2" s="29" t="s">
        <v>385</v>
      </c>
      <c r="AP2" s="26" t="s">
        <v>393</v>
      </c>
      <c r="AQ2" s="27" t="s">
        <v>383</v>
      </c>
      <c r="AR2" s="28" t="s">
        <v>384</v>
      </c>
      <c r="AS2" s="29" t="s">
        <v>385</v>
      </c>
      <c r="AU2" s="26" t="s">
        <v>394</v>
      </c>
      <c r="AV2" s="27" t="s">
        <v>383</v>
      </c>
      <c r="AW2" s="28" t="s">
        <v>384</v>
      </c>
      <c r="AX2" s="29" t="s">
        <v>385</v>
      </c>
      <c r="AZ2" s="26" t="s">
        <v>395</v>
      </c>
      <c r="BA2" s="27" t="s">
        <v>383</v>
      </c>
      <c r="BB2" s="28" t="s">
        <v>384</v>
      </c>
      <c r="BC2" s="29" t="s">
        <v>385</v>
      </c>
      <c r="BE2" s="26" t="s">
        <v>396</v>
      </c>
      <c r="BF2" s="27" t="s">
        <v>383</v>
      </c>
      <c r="BG2" s="28" t="s">
        <v>384</v>
      </c>
      <c r="BH2" s="29" t="s">
        <v>385</v>
      </c>
    </row>
    <row r="3" spans="2:60">
      <c r="B3" s="30">
        <v>45658</v>
      </c>
      <c r="C3" s="20">
        <v>8639</v>
      </c>
      <c r="D3" s="20">
        <v>1948</v>
      </c>
      <c r="E3" s="20">
        <f>C3-D3</f>
        <v>6691</v>
      </c>
      <c r="G3" s="30">
        <v>45689</v>
      </c>
      <c r="H3" s="20">
        <v>10869</v>
      </c>
      <c r="I3" s="20">
        <v>2281</v>
      </c>
      <c r="J3" s="20">
        <f>H3-I3</f>
        <v>8588</v>
      </c>
      <c r="L3" s="30">
        <v>45717</v>
      </c>
      <c r="M3" s="20">
        <v>10023</v>
      </c>
      <c r="N3" s="20">
        <v>2860</v>
      </c>
      <c r="O3" s="20">
        <f>M3-N3</f>
        <v>7163</v>
      </c>
      <c r="Q3" s="30">
        <v>45748</v>
      </c>
      <c r="R3" s="20">
        <v>2983</v>
      </c>
      <c r="S3" s="20">
        <v>448</v>
      </c>
      <c r="T3" s="20">
        <f>R3-S3</f>
        <v>2535</v>
      </c>
      <c r="V3" s="30">
        <v>45778</v>
      </c>
      <c r="W3" s="20">
        <v>8698</v>
      </c>
      <c r="X3" s="20">
        <v>3878</v>
      </c>
      <c r="Y3" s="20">
        <f>W3-X3</f>
        <v>4820</v>
      </c>
      <c r="AA3" s="30">
        <v>45809</v>
      </c>
      <c r="AB3" s="20">
        <v>4925</v>
      </c>
      <c r="AC3" s="20">
        <v>3344</v>
      </c>
      <c r="AD3" s="20">
        <f>AB3-AC3</f>
        <v>1581</v>
      </c>
      <c r="AF3" s="30">
        <v>45839</v>
      </c>
      <c r="AG3" s="20">
        <v>6520</v>
      </c>
      <c r="AH3" s="20">
        <v>797</v>
      </c>
      <c r="AI3" s="20">
        <f>AG3-AH3</f>
        <v>5723</v>
      </c>
      <c r="AK3" s="30">
        <v>45870</v>
      </c>
      <c r="AL3" s="20"/>
      <c r="AM3" s="20"/>
      <c r="AN3" s="20">
        <f>AL3-AM3</f>
        <v>0</v>
      </c>
      <c r="AP3" s="30">
        <v>45901</v>
      </c>
      <c r="AQ3" s="20">
        <v>6096</v>
      </c>
      <c r="AR3" s="20"/>
      <c r="AS3" s="20">
        <f>AQ3-AR3</f>
        <v>6096</v>
      </c>
      <c r="AU3" s="30">
        <v>45931</v>
      </c>
      <c r="AV3" s="20">
        <v>3801</v>
      </c>
      <c r="AW3" s="20"/>
      <c r="AX3" s="20">
        <f>AV3-AW3</f>
        <v>3801</v>
      </c>
      <c r="AZ3" s="30">
        <v>45962</v>
      </c>
      <c r="BA3" s="20">
        <v>13890</v>
      </c>
      <c r="BB3" s="20"/>
      <c r="BC3" s="20">
        <f>BA3-BB3</f>
        <v>13890</v>
      </c>
      <c r="BE3" s="30">
        <v>45992</v>
      </c>
      <c r="BF3" s="20"/>
      <c r="BG3" s="20"/>
      <c r="BH3" s="20">
        <f>BF3-BG3</f>
        <v>0</v>
      </c>
    </row>
    <row r="4" spans="2:60">
      <c r="B4" s="30">
        <v>45659</v>
      </c>
      <c r="C4" s="20">
        <v>9087</v>
      </c>
      <c r="D4" s="20">
        <v>3945</v>
      </c>
      <c r="E4" s="20">
        <f t="shared" ref="E4:E33" si="0">C4-D4</f>
        <v>5142</v>
      </c>
      <c r="G4" s="30">
        <v>45690</v>
      </c>
      <c r="H4" s="20">
        <v>13150</v>
      </c>
      <c r="I4" s="20">
        <v>3469</v>
      </c>
      <c r="J4" s="20">
        <f t="shared" ref="J4:J33" si="1">H4-I4</f>
        <v>9681</v>
      </c>
      <c r="L4" s="30">
        <v>45718</v>
      </c>
      <c r="M4" s="20">
        <v>10271</v>
      </c>
      <c r="N4" s="20">
        <v>4745</v>
      </c>
      <c r="O4" s="20">
        <f t="shared" ref="O4:O33" si="2">M4-N4</f>
        <v>5526</v>
      </c>
      <c r="Q4" s="30">
        <v>45749</v>
      </c>
      <c r="R4" s="20">
        <v>7972</v>
      </c>
      <c r="S4" s="20">
        <v>2558</v>
      </c>
      <c r="T4" s="20">
        <f t="shared" ref="T4:T33" si="3">R4-S4</f>
        <v>5414</v>
      </c>
      <c r="V4" s="30">
        <v>45779</v>
      </c>
      <c r="W4" s="20">
        <v>4143</v>
      </c>
      <c r="X4" s="20">
        <v>1816</v>
      </c>
      <c r="Y4" s="20">
        <f t="shared" ref="Y4:Y33" si="4">W4-X4</f>
        <v>2327</v>
      </c>
      <c r="AA4" s="30">
        <v>45810</v>
      </c>
      <c r="AB4" s="20">
        <v>5997</v>
      </c>
      <c r="AC4" s="20">
        <v>3678</v>
      </c>
      <c r="AD4" s="20">
        <f t="shared" ref="AD4:AD33" si="5">AB4-AC4</f>
        <v>2319</v>
      </c>
      <c r="AF4" s="30">
        <v>45840</v>
      </c>
      <c r="AG4" s="20">
        <v>3360</v>
      </c>
      <c r="AH4" s="20">
        <v>5206</v>
      </c>
      <c r="AI4" s="20">
        <f t="shared" ref="AI4:AI33" si="6">AG4-AH4</f>
        <v>-1846</v>
      </c>
      <c r="AK4" s="30">
        <v>45871</v>
      </c>
      <c r="AL4" s="20"/>
      <c r="AM4" s="20"/>
      <c r="AN4" s="20">
        <f t="shared" ref="AN4:AN33" si="7">AL4-AM4</f>
        <v>0</v>
      </c>
      <c r="AP4" s="30">
        <v>45902</v>
      </c>
      <c r="AQ4" s="20">
        <v>2941</v>
      </c>
      <c r="AR4" s="20"/>
      <c r="AS4" s="20">
        <f t="shared" ref="AS4:AS33" si="8">AQ4-AR4</f>
        <v>2941</v>
      </c>
      <c r="AU4" s="30">
        <v>45932</v>
      </c>
      <c r="AV4" s="20">
        <v>2923</v>
      </c>
      <c r="AW4" s="20"/>
      <c r="AX4" s="20">
        <f t="shared" ref="AX4:AX33" si="9">AV4-AW4</f>
        <v>2923</v>
      </c>
      <c r="AZ4" s="30">
        <v>45963</v>
      </c>
      <c r="BA4" s="20">
        <v>23631</v>
      </c>
      <c r="BB4" s="20"/>
      <c r="BC4" s="20">
        <f t="shared" ref="BC4:BC33" si="10">BA4-BB4</f>
        <v>23631</v>
      </c>
      <c r="BE4" s="30">
        <v>45993</v>
      </c>
      <c r="BF4" s="20"/>
      <c r="BG4" s="20"/>
      <c r="BH4" s="20">
        <f t="shared" ref="BH4:BH33" si="11">BF4-BG4</f>
        <v>0</v>
      </c>
    </row>
    <row r="5" spans="2:60">
      <c r="B5" s="30">
        <v>45660</v>
      </c>
      <c r="C5" s="20">
        <v>6358</v>
      </c>
      <c r="D5" s="20">
        <v>2800</v>
      </c>
      <c r="E5" s="20">
        <f t="shared" si="0"/>
        <v>3558</v>
      </c>
      <c r="G5" s="30">
        <v>45691</v>
      </c>
      <c r="H5" s="20">
        <v>10475</v>
      </c>
      <c r="I5" s="20">
        <v>2554</v>
      </c>
      <c r="J5" s="20">
        <f t="shared" si="1"/>
        <v>7921</v>
      </c>
      <c r="L5" s="30">
        <v>45719</v>
      </c>
      <c r="M5" s="20">
        <v>8248</v>
      </c>
      <c r="N5" s="20">
        <v>2804</v>
      </c>
      <c r="O5" s="20">
        <f t="shared" si="2"/>
        <v>5444</v>
      </c>
      <c r="Q5" s="30">
        <v>45750</v>
      </c>
      <c r="R5" s="20">
        <v>3528</v>
      </c>
      <c r="S5" s="20">
        <v>3550</v>
      </c>
      <c r="T5" s="20">
        <f t="shared" si="3"/>
        <v>-22</v>
      </c>
      <c r="V5" s="30">
        <v>45780</v>
      </c>
      <c r="W5" s="20">
        <v>9084</v>
      </c>
      <c r="X5" s="20">
        <v>1037</v>
      </c>
      <c r="Y5" s="20">
        <f t="shared" si="4"/>
        <v>8047</v>
      </c>
      <c r="AA5" s="30">
        <v>45811</v>
      </c>
      <c r="AB5" s="20">
        <v>6325</v>
      </c>
      <c r="AC5" s="20">
        <v>1234</v>
      </c>
      <c r="AD5" s="20">
        <f t="shared" si="5"/>
        <v>5091</v>
      </c>
      <c r="AF5" s="30">
        <v>45841</v>
      </c>
      <c r="AG5" s="20">
        <v>3216</v>
      </c>
      <c r="AH5" s="20">
        <v>2501</v>
      </c>
      <c r="AI5" s="20">
        <f t="shared" si="6"/>
        <v>715</v>
      </c>
      <c r="AK5" s="30">
        <v>45872</v>
      </c>
      <c r="AL5" s="20"/>
      <c r="AM5" s="20"/>
      <c r="AN5" s="20">
        <f t="shared" si="7"/>
        <v>0</v>
      </c>
      <c r="AP5" s="30">
        <v>45903</v>
      </c>
      <c r="AQ5" s="20">
        <v>2458</v>
      </c>
      <c r="AR5" s="20"/>
      <c r="AS5" s="20">
        <f t="shared" si="8"/>
        <v>2458</v>
      </c>
      <c r="AU5" s="30">
        <v>45933</v>
      </c>
      <c r="AV5" s="20">
        <v>3135</v>
      </c>
      <c r="AW5" s="20"/>
      <c r="AX5" s="20">
        <f t="shared" si="9"/>
        <v>3135</v>
      </c>
      <c r="AZ5" s="30">
        <v>45964</v>
      </c>
      <c r="BA5" s="20">
        <v>13742</v>
      </c>
      <c r="BB5" s="20"/>
      <c r="BC5" s="20">
        <f t="shared" si="10"/>
        <v>13742</v>
      </c>
      <c r="BE5" s="30">
        <v>45994</v>
      </c>
      <c r="BF5" s="20"/>
      <c r="BG5" s="20"/>
      <c r="BH5" s="20">
        <f t="shared" si="11"/>
        <v>0</v>
      </c>
    </row>
    <row r="6" spans="2:60">
      <c r="B6" s="30">
        <v>45661</v>
      </c>
      <c r="C6" s="20">
        <v>9668</v>
      </c>
      <c r="D6" s="20">
        <v>1626</v>
      </c>
      <c r="E6" s="20">
        <f t="shared" si="0"/>
        <v>8042</v>
      </c>
      <c r="G6" s="30">
        <v>45692</v>
      </c>
      <c r="H6" s="20">
        <v>3138</v>
      </c>
      <c r="I6" s="20">
        <v>695</v>
      </c>
      <c r="J6" s="20">
        <f t="shared" si="1"/>
        <v>2443</v>
      </c>
      <c r="L6" s="30">
        <v>45720</v>
      </c>
      <c r="M6" s="20">
        <v>5277</v>
      </c>
      <c r="N6" s="20">
        <v>2816</v>
      </c>
      <c r="O6" s="20">
        <f t="shared" si="2"/>
        <v>2461</v>
      </c>
      <c r="Q6" s="30">
        <v>45751</v>
      </c>
      <c r="R6" s="20">
        <v>2896</v>
      </c>
      <c r="S6" s="20">
        <v>2819</v>
      </c>
      <c r="T6" s="20">
        <f t="shared" si="3"/>
        <v>77</v>
      </c>
      <c r="V6" s="30">
        <v>45781</v>
      </c>
      <c r="W6" s="20">
        <v>6157</v>
      </c>
      <c r="X6" s="20">
        <v>5365</v>
      </c>
      <c r="Y6" s="20">
        <f t="shared" si="4"/>
        <v>792</v>
      </c>
      <c r="AA6" s="30">
        <v>45812</v>
      </c>
      <c r="AB6" s="20">
        <v>4519</v>
      </c>
      <c r="AC6" s="20">
        <v>151</v>
      </c>
      <c r="AD6" s="20">
        <f t="shared" si="5"/>
        <v>4368</v>
      </c>
      <c r="AF6" s="30">
        <v>45842</v>
      </c>
      <c r="AG6" s="20">
        <v>2371</v>
      </c>
      <c r="AH6" s="20">
        <v>1547</v>
      </c>
      <c r="AI6" s="20">
        <f t="shared" si="6"/>
        <v>824</v>
      </c>
      <c r="AK6" s="30">
        <v>45873</v>
      </c>
      <c r="AL6" s="20"/>
      <c r="AM6" s="20"/>
      <c r="AN6" s="20">
        <f t="shared" si="7"/>
        <v>0</v>
      </c>
      <c r="AP6" s="30">
        <v>45904</v>
      </c>
      <c r="AQ6" s="20">
        <v>3077</v>
      </c>
      <c r="AR6" s="20"/>
      <c r="AS6" s="20">
        <f t="shared" si="8"/>
        <v>3077</v>
      </c>
      <c r="AU6" s="30">
        <v>45934</v>
      </c>
      <c r="AV6" s="20">
        <v>6426</v>
      </c>
      <c r="AW6" s="20"/>
      <c r="AX6" s="20">
        <f t="shared" si="9"/>
        <v>6426</v>
      </c>
      <c r="AZ6" s="30">
        <v>45965</v>
      </c>
      <c r="BA6" s="20">
        <v>6490</v>
      </c>
      <c r="BB6" s="20"/>
      <c r="BC6" s="20">
        <f t="shared" si="10"/>
        <v>6490</v>
      </c>
      <c r="BE6" s="30">
        <v>45995</v>
      </c>
      <c r="BF6" s="20"/>
      <c r="BG6" s="20"/>
      <c r="BH6" s="20">
        <f t="shared" si="11"/>
        <v>0</v>
      </c>
    </row>
    <row r="7" spans="2:60">
      <c r="B7" s="30">
        <v>45662</v>
      </c>
      <c r="C7" s="20">
        <v>13172</v>
      </c>
      <c r="D7" s="20">
        <v>6365</v>
      </c>
      <c r="E7" s="20">
        <f t="shared" si="0"/>
        <v>6807</v>
      </c>
      <c r="G7" s="30">
        <v>45693</v>
      </c>
      <c r="H7" s="20">
        <v>2904</v>
      </c>
      <c r="I7" s="20">
        <v>2542</v>
      </c>
      <c r="J7" s="20">
        <f t="shared" si="1"/>
        <v>362</v>
      </c>
      <c r="L7" s="30">
        <v>45721</v>
      </c>
      <c r="M7" s="20">
        <v>5085</v>
      </c>
      <c r="N7" s="20">
        <v>58</v>
      </c>
      <c r="O7" s="20">
        <f t="shared" si="2"/>
        <v>5027</v>
      </c>
      <c r="Q7" s="30">
        <v>45752</v>
      </c>
      <c r="R7" s="20">
        <v>5330</v>
      </c>
      <c r="S7" s="20">
        <v>505</v>
      </c>
      <c r="T7" s="20">
        <f t="shared" si="3"/>
        <v>4825</v>
      </c>
      <c r="V7" s="30">
        <v>45782</v>
      </c>
      <c r="W7" s="20">
        <v>6147</v>
      </c>
      <c r="X7" s="20">
        <v>1695</v>
      </c>
      <c r="Y7" s="20">
        <f t="shared" si="4"/>
        <v>4452</v>
      </c>
      <c r="AA7" s="30">
        <v>45813</v>
      </c>
      <c r="AB7" s="20">
        <v>5627</v>
      </c>
      <c r="AC7" s="20">
        <v>1121</v>
      </c>
      <c r="AD7" s="20">
        <f t="shared" si="5"/>
        <v>4506</v>
      </c>
      <c r="AF7" s="30">
        <v>45843</v>
      </c>
      <c r="AG7" s="20">
        <v>10431</v>
      </c>
      <c r="AH7" s="20">
        <v>3431</v>
      </c>
      <c r="AI7" s="20">
        <f t="shared" si="6"/>
        <v>7000</v>
      </c>
      <c r="AK7" s="30">
        <v>45874</v>
      </c>
      <c r="AL7" s="20"/>
      <c r="AM7" s="20"/>
      <c r="AN7" s="20">
        <f t="shared" si="7"/>
        <v>0</v>
      </c>
      <c r="AP7" s="30">
        <v>45905</v>
      </c>
      <c r="AQ7" s="20">
        <v>5442</v>
      </c>
      <c r="AR7" s="20"/>
      <c r="AS7" s="20">
        <f t="shared" si="8"/>
        <v>5442</v>
      </c>
      <c r="AU7" s="30">
        <v>45935</v>
      </c>
      <c r="AV7" s="20">
        <v>7545</v>
      </c>
      <c r="AW7" s="20"/>
      <c r="AX7" s="20">
        <f t="shared" si="9"/>
        <v>7545</v>
      </c>
      <c r="AZ7" s="30">
        <v>45966</v>
      </c>
      <c r="BA7" s="20">
        <v>8557</v>
      </c>
      <c r="BB7" s="20"/>
      <c r="BC7" s="20">
        <f t="shared" si="10"/>
        <v>8557</v>
      </c>
      <c r="BE7" s="30">
        <v>45996</v>
      </c>
      <c r="BF7" s="20"/>
      <c r="BG7" s="20"/>
      <c r="BH7" s="20">
        <f t="shared" si="11"/>
        <v>0</v>
      </c>
    </row>
    <row r="8" spans="2:60">
      <c r="B8" s="30">
        <v>45663</v>
      </c>
      <c r="C8" s="20">
        <v>6995</v>
      </c>
      <c r="D8" s="20">
        <v>6824</v>
      </c>
      <c r="E8" s="20">
        <f t="shared" si="0"/>
        <v>171</v>
      </c>
      <c r="G8" s="30">
        <v>45694</v>
      </c>
      <c r="H8" s="20">
        <v>3898</v>
      </c>
      <c r="I8" s="20">
        <v>2358</v>
      </c>
      <c r="J8" s="20">
        <f t="shared" si="1"/>
        <v>1540</v>
      </c>
      <c r="L8" s="30">
        <v>45722</v>
      </c>
      <c r="M8" s="20">
        <v>5719</v>
      </c>
      <c r="N8" s="20">
        <v>2270</v>
      </c>
      <c r="O8" s="20">
        <f t="shared" si="2"/>
        <v>3449</v>
      </c>
      <c r="Q8" s="30">
        <v>45753</v>
      </c>
      <c r="R8" s="20">
        <v>11719</v>
      </c>
      <c r="S8" s="20">
        <v>4229</v>
      </c>
      <c r="T8" s="20">
        <f t="shared" si="3"/>
        <v>7490</v>
      </c>
      <c r="V8" s="30">
        <v>45783</v>
      </c>
      <c r="W8" s="20">
        <v>6605</v>
      </c>
      <c r="X8" s="20">
        <v>714</v>
      </c>
      <c r="Y8" s="20">
        <f t="shared" si="4"/>
        <v>5891</v>
      </c>
      <c r="AA8" s="30">
        <v>45814</v>
      </c>
      <c r="AB8" s="20">
        <v>5572</v>
      </c>
      <c r="AC8" s="20">
        <v>2620</v>
      </c>
      <c r="AD8" s="20">
        <f t="shared" si="5"/>
        <v>2952</v>
      </c>
      <c r="AF8" s="30">
        <v>45844</v>
      </c>
      <c r="AG8" s="20">
        <v>7842</v>
      </c>
      <c r="AH8" s="20">
        <v>3124</v>
      </c>
      <c r="AI8" s="20">
        <f t="shared" si="6"/>
        <v>4718</v>
      </c>
      <c r="AK8" s="30">
        <v>45875</v>
      </c>
      <c r="AL8" s="20"/>
      <c r="AM8" s="20"/>
      <c r="AN8" s="20">
        <f t="shared" si="7"/>
        <v>0</v>
      </c>
      <c r="AP8" s="30">
        <v>45906</v>
      </c>
      <c r="AQ8" s="20">
        <v>8410</v>
      </c>
      <c r="AR8" s="20"/>
      <c r="AS8" s="20">
        <f t="shared" si="8"/>
        <v>8410</v>
      </c>
      <c r="AU8" s="30">
        <v>45936</v>
      </c>
      <c r="AV8" s="20">
        <v>6810</v>
      </c>
      <c r="AW8" s="20"/>
      <c r="AX8" s="20">
        <f t="shared" si="9"/>
        <v>6810</v>
      </c>
      <c r="AZ8" s="30">
        <v>45967</v>
      </c>
      <c r="BA8" s="20">
        <v>8280</v>
      </c>
      <c r="BB8" s="20"/>
      <c r="BC8" s="20">
        <f t="shared" si="10"/>
        <v>8280</v>
      </c>
      <c r="BE8" s="30">
        <v>45997</v>
      </c>
      <c r="BF8" s="20"/>
      <c r="BG8" s="20"/>
      <c r="BH8" s="20">
        <f t="shared" si="11"/>
        <v>0</v>
      </c>
    </row>
    <row r="9" spans="2:60">
      <c r="B9" s="30">
        <v>45664</v>
      </c>
      <c r="C9" s="20">
        <v>10272</v>
      </c>
      <c r="D9" s="20">
        <v>4669</v>
      </c>
      <c r="E9" s="20">
        <f t="shared" si="0"/>
        <v>5603</v>
      </c>
      <c r="G9" s="30">
        <v>45695</v>
      </c>
      <c r="H9" s="20">
        <v>5863</v>
      </c>
      <c r="I9" s="20">
        <v>3861</v>
      </c>
      <c r="J9" s="20">
        <f t="shared" si="1"/>
        <v>2002</v>
      </c>
      <c r="L9" s="30">
        <v>45723</v>
      </c>
      <c r="M9" s="20">
        <v>7246</v>
      </c>
      <c r="N9" s="20">
        <v>2828</v>
      </c>
      <c r="O9" s="20">
        <f t="shared" si="2"/>
        <v>4418</v>
      </c>
      <c r="Q9" s="30">
        <v>45754</v>
      </c>
      <c r="R9" s="20">
        <v>6132</v>
      </c>
      <c r="S9" s="20">
        <v>2927</v>
      </c>
      <c r="T9" s="20">
        <f t="shared" si="3"/>
        <v>3205</v>
      </c>
      <c r="V9" s="30">
        <v>45784</v>
      </c>
      <c r="W9" s="20">
        <v>2596</v>
      </c>
      <c r="X9" s="20">
        <v>225</v>
      </c>
      <c r="Y9" s="20">
        <f t="shared" si="4"/>
        <v>2371</v>
      </c>
      <c r="AA9" s="30">
        <v>45815</v>
      </c>
      <c r="AB9" s="20">
        <v>6958</v>
      </c>
      <c r="AC9" s="20">
        <v>118</v>
      </c>
      <c r="AD9" s="20">
        <f t="shared" si="5"/>
        <v>6840</v>
      </c>
      <c r="AF9" s="30">
        <v>45845</v>
      </c>
      <c r="AG9" s="20">
        <v>5056</v>
      </c>
      <c r="AH9" s="20">
        <v>2469</v>
      </c>
      <c r="AI9" s="20">
        <f t="shared" si="6"/>
        <v>2587</v>
      </c>
      <c r="AK9" s="30">
        <v>45876</v>
      </c>
      <c r="AL9" s="20"/>
      <c r="AM9" s="20"/>
      <c r="AN9" s="20">
        <f t="shared" si="7"/>
        <v>0</v>
      </c>
      <c r="AP9" s="30">
        <v>45907</v>
      </c>
      <c r="AQ9" s="20">
        <v>5310</v>
      </c>
      <c r="AR9" s="20"/>
      <c r="AS9" s="20">
        <f t="shared" si="8"/>
        <v>5310</v>
      </c>
      <c r="AU9" s="30">
        <v>45937</v>
      </c>
      <c r="AV9" s="20">
        <v>4737</v>
      </c>
      <c r="AW9" s="20"/>
      <c r="AX9" s="20">
        <f t="shared" si="9"/>
        <v>4737</v>
      </c>
      <c r="AZ9" s="30">
        <v>45968</v>
      </c>
      <c r="BA9" s="20">
        <v>8197</v>
      </c>
      <c r="BB9" s="20"/>
      <c r="BC9" s="20">
        <f t="shared" si="10"/>
        <v>8197</v>
      </c>
      <c r="BE9" s="30">
        <v>45998</v>
      </c>
      <c r="BF9" s="20"/>
      <c r="BG9" s="20"/>
      <c r="BH9" s="20">
        <f t="shared" si="11"/>
        <v>0</v>
      </c>
    </row>
    <row r="10" spans="2:60">
      <c r="B10" s="30">
        <v>45665</v>
      </c>
      <c r="C10" s="20">
        <v>3401</v>
      </c>
      <c r="D10" s="20">
        <v>643</v>
      </c>
      <c r="E10" s="20">
        <f t="shared" si="0"/>
        <v>2758</v>
      </c>
      <c r="G10" s="30">
        <v>45696</v>
      </c>
      <c r="H10" s="20">
        <v>6864</v>
      </c>
      <c r="I10" s="20">
        <v>1340</v>
      </c>
      <c r="J10" s="20">
        <f t="shared" si="1"/>
        <v>5524</v>
      </c>
      <c r="L10" s="30">
        <v>45724</v>
      </c>
      <c r="M10" s="20">
        <v>8481</v>
      </c>
      <c r="N10" s="20">
        <v>3521</v>
      </c>
      <c r="O10" s="20">
        <f t="shared" si="2"/>
        <v>4960</v>
      </c>
      <c r="Q10" s="30">
        <v>45755</v>
      </c>
      <c r="R10" s="20">
        <v>8390</v>
      </c>
      <c r="S10" s="20">
        <v>851</v>
      </c>
      <c r="T10" s="20">
        <f t="shared" si="3"/>
        <v>7539</v>
      </c>
      <c r="V10" s="30">
        <v>45785</v>
      </c>
      <c r="W10" s="20">
        <v>4218</v>
      </c>
      <c r="X10" s="20">
        <v>2075</v>
      </c>
      <c r="Y10" s="20">
        <f t="shared" si="4"/>
        <v>2143</v>
      </c>
      <c r="AA10" s="30">
        <v>45816</v>
      </c>
      <c r="AB10" s="20">
        <v>7068</v>
      </c>
      <c r="AC10" s="20">
        <v>3121</v>
      </c>
      <c r="AD10" s="20">
        <f t="shared" si="5"/>
        <v>3947</v>
      </c>
      <c r="AF10" s="30">
        <v>45846</v>
      </c>
      <c r="AG10" s="20">
        <v>5837</v>
      </c>
      <c r="AH10" s="20">
        <v>1027</v>
      </c>
      <c r="AI10" s="20">
        <f t="shared" si="6"/>
        <v>4810</v>
      </c>
      <c r="AK10" s="30">
        <v>45877</v>
      </c>
      <c r="AL10" s="20"/>
      <c r="AM10" s="20"/>
      <c r="AN10" s="20">
        <f t="shared" si="7"/>
        <v>0</v>
      </c>
      <c r="AP10" s="30">
        <v>45908</v>
      </c>
      <c r="AQ10" s="20">
        <v>911</v>
      </c>
      <c r="AR10" s="20"/>
      <c r="AS10" s="20">
        <f t="shared" si="8"/>
        <v>911</v>
      </c>
      <c r="AU10" s="30">
        <v>45938</v>
      </c>
      <c r="AV10" s="20">
        <v>5849</v>
      </c>
      <c r="AW10" s="20"/>
      <c r="AX10" s="20">
        <f t="shared" si="9"/>
        <v>5849</v>
      </c>
      <c r="AZ10" s="30">
        <v>45969</v>
      </c>
      <c r="BA10" s="20">
        <v>7632</v>
      </c>
      <c r="BB10" s="20"/>
      <c r="BC10" s="20">
        <f t="shared" si="10"/>
        <v>7632</v>
      </c>
      <c r="BE10" s="30">
        <v>45999</v>
      </c>
      <c r="BF10" s="20"/>
      <c r="BG10" s="20"/>
      <c r="BH10" s="20">
        <f t="shared" si="11"/>
        <v>0</v>
      </c>
    </row>
    <row r="11" spans="2:60">
      <c r="B11" s="30">
        <v>45666</v>
      </c>
      <c r="C11" s="20">
        <v>3513</v>
      </c>
      <c r="D11" s="20">
        <v>3254</v>
      </c>
      <c r="E11" s="20">
        <f t="shared" si="0"/>
        <v>259</v>
      </c>
      <c r="G11" s="30">
        <v>45697</v>
      </c>
      <c r="H11" s="20">
        <v>7817</v>
      </c>
      <c r="I11" s="20">
        <v>5091</v>
      </c>
      <c r="J11" s="20">
        <f t="shared" si="1"/>
        <v>2726</v>
      </c>
      <c r="L11" s="30">
        <v>45725</v>
      </c>
      <c r="M11" s="20">
        <v>7830</v>
      </c>
      <c r="N11" s="20">
        <v>1945</v>
      </c>
      <c r="O11" s="20">
        <f t="shared" si="2"/>
        <v>5885</v>
      </c>
      <c r="Q11" s="30">
        <v>45756</v>
      </c>
      <c r="R11" s="20">
        <v>5977</v>
      </c>
      <c r="S11" s="20">
        <v>212</v>
      </c>
      <c r="T11" s="20">
        <f t="shared" si="3"/>
        <v>5765</v>
      </c>
      <c r="V11" s="30">
        <v>45786</v>
      </c>
      <c r="W11" s="20">
        <v>3715</v>
      </c>
      <c r="X11" s="20">
        <v>3266</v>
      </c>
      <c r="Y11" s="20">
        <f t="shared" si="4"/>
        <v>449</v>
      </c>
      <c r="AA11" s="30">
        <v>45817</v>
      </c>
      <c r="AB11" s="20">
        <v>2907</v>
      </c>
      <c r="AC11" s="20">
        <v>593</v>
      </c>
      <c r="AD11" s="20">
        <f t="shared" si="5"/>
        <v>2314</v>
      </c>
      <c r="AF11" s="30">
        <v>45847</v>
      </c>
      <c r="AG11" s="20">
        <v>3288</v>
      </c>
      <c r="AH11" s="20">
        <v>181</v>
      </c>
      <c r="AI11" s="20">
        <f t="shared" si="6"/>
        <v>3107</v>
      </c>
      <c r="AK11" s="30">
        <v>45878</v>
      </c>
      <c r="AL11" s="20"/>
      <c r="AM11" s="20"/>
      <c r="AN11" s="20">
        <f t="shared" si="7"/>
        <v>0</v>
      </c>
      <c r="AP11" s="30">
        <v>45909</v>
      </c>
      <c r="AQ11" s="20">
        <v>5592</v>
      </c>
      <c r="AR11" s="20"/>
      <c r="AS11" s="20">
        <f t="shared" si="8"/>
        <v>5592</v>
      </c>
      <c r="AU11" s="30">
        <v>45939</v>
      </c>
      <c r="AV11" s="20">
        <v>3684</v>
      </c>
      <c r="AW11" s="20"/>
      <c r="AX11" s="20">
        <f t="shared" si="9"/>
        <v>3684</v>
      </c>
      <c r="AZ11" s="30">
        <v>45970</v>
      </c>
      <c r="BA11" s="20">
        <v>7559</v>
      </c>
      <c r="BB11" s="20"/>
      <c r="BC11" s="20">
        <f t="shared" si="10"/>
        <v>7559</v>
      </c>
      <c r="BE11" s="30">
        <v>46000</v>
      </c>
      <c r="BF11" s="20"/>
      <c r="BG11" s="20"/>
      <c r="BH11" s="20">
        <f t="shared" si="11"/>
        <v>0</v>
      </c>
    </row>
    <row r="12" spans="2:60">
      <c r="B12" s="30">
        <v>45667</v>
      </c>
      <c r="C12" s="20">
        <v>3280</v>
      </c>
      <c r="D12" s="20">
        <v>1931</v>
      </c>
      <c r="E12" s="20">
        <f t="shared" si="0"/>
        <v>1349</v>
      </c>
      <c r="G12" s="30">
        <v>45698</v>
      </c>
      <c r="H12" s="20">
        <v>4779</v>
      </c>
      <c r="I12" s="20">
        <v>3742</v>
      </c>
      <c r="J12" s="20">
        <f t="shared" si="1"/>
        <v>1037</v>
      </c>
      <c r="L12" s="30">
        <v>45726</v>
      </c>
      <c r="M12" s="20">
        <v>3033</v>
      </c>
      <c r="N12" s="20">
        <v>2874</v>
      </c>
      <c r="O12" s="20">
        <f t="shared" si="2"/>
        <v>159</v>
      </c>
      <c r="Q12" s="30">
        <v>45757</v>
      </c>
      <c r="R12" s="20">
        <v>4001</v>
      </c>
      <c r="S12" s="20">
        <v>4184</v>
      </c>
      <c r="T12" s="20">
        <f t="shared" si="3"/>
        <v>-183</v>
      </c>
      <c r="V12" s="30">
        <v>45787</v>
      </c>
      <c r="W12" s="20">
        <v>2905</v>
      </c>
      <c r="X12" s="20">
        <v>442</v>
      </c>
      <c r="Y12" s="20">
        <f t="shared" si="4"/>
        <v>2463</v>
      </c>
      <c r="AA12" s="30">
        <v>45818</v>
      </c>
      <c r="AB12" s="20">
        <v>4614</v>
      </c>
      <c r="AC12" s="20">
        <v>4204</v>
      </c>
      <c r="AD12" s="20">
        <f t="shared" si="5"/>
        <v>410</v>
      </c>
      <c r="AF12" s="30">
        <v>45848</v>
      </c>
      <c r="AG12" s="20">
        <v>6029</v>
      </c>
      <c r="AH12" s="20">
        <v>5863</v>
      </c>
      <c r="AI12" s="20">
        <f t="shared" si="6"/>
        <v>166</v>
      </c>
      <c r="AK12" s="30">
        <v>45879</v>
      </c>
      <c r="AL12" s="20"/>
      <c r="AM12" s="20"/>
      <c r="AN12" s="20">
        <f t="shared" si="7"/>
        <v>0</v>
      </c>
      <c r="AP12" s="30">
        <v>45910</v>
      </c>
      <c r="AQ12" s="20">
        <v>4956</v>
      </c>
      <c r="AR12" s="20"/>
      <c r="AS12" s="20">
        <f t="shared" si="8"/>
        <v>4956</v>
      </c>
      <c r="AU12" s="30">
        <v>45940</v>
      </c>
      <c r="AV12" s="20">
        <v>3311</v>
      </c>
      <c r="AW12" s="20"/>
      <c r="AX12" s="20">
        <f t="shared" si="9"/>
        <v>3311</v>
      </c>
      <c r="AZ12" s="30">
        <v>45971</v>
      </c>
      <c r="BA12" s="20">
        <v>7151</v>
      </c>
      <c r="BB12" s="20"/>
      <c r="BC12" s="20">
        <f t="shared" si="10"/>
        <v>7151</v>
      </c>
      <c r="BE12" s="30">
        <v>46001</v>
      </c>
      <c r="BF12" s="20"/>
      <c r="BG12" s="20"/>
      <c r="BH12" s="20">
        <f t="shared" si="11"/>
        <v>0</v>
      </c>
    </row>
    <row r="13" spans="2:60">
      <c r="B13" s="30">
        <v>45668</v>
      </c>
      <c r="C13" s="20">
        <v>5175</v>
      </c>
      <c r="D13" s="20">
        <v>1463</v>
      </c>
      <c r="E13" s="20">
        <f t="shared" si="0"/>
        <v>3712</v>
      </c>
      <c r="G13" s="30">
        <v>45699</v>
      </c>
      <c r="H13" s="20">
        <v>6194</v>
      </c>
      <c r="I13" s="20">
        <v>1217</v>
      </c>
      <c r="J13" s="20">
        <f t="shared" si="1"/>
        <v>4977</v>
      </c>
      <c r="L13" s="30">
        <v>45727</v>
      </c>
      <c r="M13" s="20">
        <v>4417</v>
      </c>
      <c r="N13" s="20">
        <v>3527</v>
      </c>
      <c r="O13" s="20">
        <f t="shared" si="2"/>
        <v>890</v>
      </c>
      <c r="Q13" s="30">
        <v>45758</v>
      </c>
      <c r="R13" s="20">
        <v>14263</v>
      </c>
      <c r="S13" s="20">
        <v>4061</v>
      </c>
      <c r="T13" s="20">
        <f t="shared" si="3"/>
        <v>10202</v>
      </c>
      <c r="V13" s="30">
        <v>45788</v>
      </c>
      <c r="W13" s="20">
        <v>3933</v>
      </c>
      <c r="X13" s="20">
        <v>2176</v>
      </c>
      <c r="Y13" s="20">
        <f t="shared" si="4"/>
        <v>1757</v>
      </c>
      <c r="AA13" s="30">
        <v>45819</v>
      </c>
      <c r="AB13" s="20">
        <v>4424</v>
      </c>
      <c r="AC13" s="20">
        <v>348</v>
      </c>
      <c r="AD13" s="20">
        <f t="shared" si="5"/>
        <v>4076</v>
      </c>
      <c r="AF13" s="30">
        <v>45849</v>
      </c>
      <c r="AG13" s="20">
        <v>3337</v>
      </c>
      <c r="AH13" s="20">
        <v>783</v>
      </c>
      <c r="AI13" s="20">
        <f t="shared" si="6"/>
        <v>2554</v>
      </c>
      <c r="AK13" s="30">
        <v>45880</v>
      </c>
      <c r="AL13" s="20"/>
      <c r="AM13" s="20"/>
      <c r="AN13" s="20">
        <f t="shared" si="7"/>
        <v>0</v>
      </c>
      <c r="AP13" s="30">
        <v>45911</v>
      </c>
      <c r="AQ13" s="20">
        <v>3929</v>
      </c>
      <c r="AR13" s="20"/>
      <c r="AS13" s="20">
        <f t="shared" si="8"/>
        <v>3929</v>
      </c>
      <c r="AU13" s="30">
        <v>45941</v>
      </c>
      <c r="AV13" s="20">
        <v>11787</v>
      </c>
      <c r="AW13" s="20"/>
      <c r="AX13" s="20">
        <f t="shared" si="9"/>
        <v>11787</v>
      </c>
      <c r="AZ13" s="30">
        <v>45972</v>
      </c>
      <c r="BA13" s="20">
        <v>7027</v>
      </c>
      <c r="BB13" s="20"/>
      <c r="BC13" s="20">
        <f t="shared" si="10"/>
        <v>7027</v>
      </c>
      <c r="BE13" s="30">
        <v>46002</v>
      </c>
      <c r="BF13" s="20"/>
      <c r="BG13" s="20"/>
      <c r="BH13" s="20">
        <f t="shared" si="11"/>
        <v>0</v>
      </c>
    </row>
    <row r="14" spans="2:60">
      <c r="B14" s="30">
        <v>45669</v>
      </c>
      <c r="C14" s="20">
        <v>8768</v>
      </c>
      <c r="D14" s="20">
        <v>2591</v>
      </c>
      <c r="E14" s="20">
        <f t="shared" si="0"/>
        <v>6177</v>
      </c>
      <c r="G14" s="30">
        <v>45700</v>
      </c>
      <c r="H14" s="20">
        <v>6227</v>
      </c>
      <c r="I14" s="20">
        <v>523</v>
      </c>
      <c r="J14" s="20">
        <f t="shared" si="1"/>
        <v>5704</v>
      </c>
      <c r="L14" s="30">
        <v>45728</v>
      </c>
      <c r="M14" s="20">
        <v>6364</v>
      </c>
      <c r="N14" s="20">
        <v>3143</v>
      </c>
      <c r="O14" s="20">
        <f t="shared" si="2"/>
        <v>3221</v>
      </c>
      <c r="Q14" s="30">
        <v>45759</v>
      </c>
      <c r="R14" s="20">
        <v>5941</v>
      </c>
      <c r="S14" s="20">
        <v>1485</v>
      </c>
      <c r="T14" s="20">
        <f t="shared" si="3"/>
        <v>4456</v>
      </c>
      <c r="V14" s="30">
        <v>45789</v>
      </c>
      <c r="W14" s="20">
        <v>2605</v>
      </c>
      <c r="X14" s="20">
        <v>2354</v>
      </c>
      <c r="Y14" s="20">
        <f t="shared" si="4"/>
        <v>251</v>
      </c>
      <c r="AA14" s="30">
        <v>45820</v>
      </c>
      <c r="AB14" s="20">
        <v>7035</v>
      </c>
      <c r="AC14" s="20">
        <v>4137</v>
      </c>
      <c r="AD14" s="20">
        <f t="shared" si="5"/>
        <v>2898</v>
      </c>
      <c r="AF14" s="30">
        <v>45850</v>
      </c>
      <c r="AG14" s="20">
        <v>12954</v>
      </c>
      <c r="AH14" s="20">
        <v>7635</v>
      </c>
      <c r="AI14" s="20">
        <f t="shared" si="6"/>
        <v>5319</v>
      </c>
      <c r="AK14" s="30">
        <v>45881</v>
      </c>
      <c r="AL14" s="20"/>
      <c r="AM14" s="20"/>
      <c r="AN14" s="20">
        <f t="shared" si="7"/>
        <v>0</v>
      </c>
      <c r="AP14" s="30">
        <v>45912</v>
      </c>
      <c r="AQ14" s="20">
        <v>3289</v>
      </c>
      <c r="AR14" s="20"/>
      <c r="AS14" s="20">
        <f t="shared" si="8"/>
        <v>3289</v>
      </c>
      <c r="AU14" s="30">
        <v>45942</v>
      </c>
      <c r="AV14" s="20">
        <v>11769</v>
      </c>
      <c r="AW14" s="20"/>
      <c r="AX14" s="20">
        <f t="shared" si="9"/>
        <v>11769</v>
      </c>
      <c r="AZ14" s="30">
        <v>45973</v>
      </c>
      <c r="BA14" s="20">
        <v>4018</v>
      </c>
      <c r="BB14" s="20"/>
      <c r="BC14" s="20">
        <f t="shared" si="10"/>
        <v>4018</v>
      </c>
      <c r="BE14" s="30">
        <v>46003</v>
      </c>
      <c r="BF14" s="20"/>
      <c r="BG14" s="20"/>
      <c r="BH14" s="20">
        <f t="shared" si="11"/>
        <v>0</v>
      </c>
    </row>
    <row r="15" spans="2:60">
      <c r="B15" s="30">
        <v>45670</v>
      </c>
      <c r="C15" s="20">
        <v>8519</v>
      </c>
      <c r="D15" s="20">
        <v>4719</v>
      </c>
      <c r="E15" s="20">
        <f t="shared" si="0"/>
        <v>3800</v>
      </c>
      <c r="G15" s="30">
        <v>45701</v>
      </c>
      <c r="H15" s="20">
        <v>6518</v>
      </c>
      <c r="I15" s="20">
        <v>2890</v>
      </c>
      <c r="J15" s="20">
        <f t="shared" si="1"/>
        <v>3628</v>
      </c>
      <c r="L15" s="30">
        <v>45729</v>
      </c>
      <c r="M15" s="20">
        <v>6679</v>
      </c>
      <c r="N15" s="20">
        <v>5565</v>
      </c>
      <c r="O15" s="20">
        <f t="shared" si="2"/>
        <v>1114</v>
      </c>
      <c r="Q15" s="30">
        <v>45760</v>
      </c>
      <c r="R15" s="20">
        <v>8041</v>
      </c>
      <c r="S15" s="20">
        <v>4507</v>
      </c>
      <c r="T15" s="20">
        <f t="shared" si="3"/>
        <v>3534</v>
      </c>
      <c r="V15" s="30">
        <v>45790</v>
      </c>
      <c r="W15" s="20">
        <v>5185</v>
      </c>
      <c r="X15" s="20">
        <v>646</v>
      </c>
      <c r="Y15" s="20">
        <f t="shared" si="4"/>
        <v>4539</v>
      </c>
      <c r="AA15" s="30">
        <v>45821</v>
      </c>
      <c r="AB15" s="20">
        <v>5033</v>
      </c>
      <c r="AC15" s="20">
        <v>2904</v>
      </c>
      <c r="AD15" s="20">
        <f t="shared" si="5"/>
        <v>2129</v>
      </c>
      <c r="AF15" s="30">
        <v>45851</v>
      </c>
      <c r="AG15" s="20">
        <v>5927</v>
      </c>
      <c r="AH15" s="20">
        <v>2387</v>
      </c>
      <c r="AI15" s="20">
        <f t="shared" si="6"/>
        <v>3540</v>
      </c>
      <c r="AK15" s="30">
        <v>45882</v>
      </c>
      <c r="AL15" s="20"/>
      <c r="AM15" s="20"/>
      <c r="AN15" s="20">
        <f t="shared" si="7"/>
        <v>0</v>
      </c>
      <c r="AP15" s="30">
        <v>45913</v>
      </c>
      <c r="AQ15" s="20">
        <v>6515</v>
      </c>
      <c r="AR15" s="20"/>
      <c r="AS15" s="20">
        <f t="shared" si="8"/>
        <v>6515</v>
      </c>
      <c r="AU15" s="30">
        <v>45943</v>
      </c>
      <c r="AV15" s="20">
        <v>8801</v>
      </c>
      <c r="AW15" s="20"/>
      <c r="AX15" s="20">
        <f t="shared" si="9"/>
        <v>8801</v>
      </c>
      <c r="AZ15" s="30">
        <v>45974</v>
      </c>
      <c r="BA15" s="20">
        <v>5505</v>
      </c>
      <c r="BB15" s="20"/>
      <c r="BC15" s="20">
        <f t="shared" si="10"/>
        <v>5505</v>
      </c>
      <c r="BE15" s="30">
        <v>46004</v>
      </c>
      <c r="BF15" s="20"/>
      <c r="BG15" s="20"/>
      <c r="BH15" s="20">
        <f t="shared" si="11"/>
        <v>0</v>
      </c>
    </row>
    <row r="16" spans="2:60">
      <c r="B16" s="30">
        <v>45671</v>
      </c>
      <c r="C16" s="20">
        <v>7470</v>
      </c>
      <c r="D16" s="20">
        <v>549</v>
      </c>
      <c r="E16" s="20">
        <f t="shared" si="0"/>
        <v>6921</v>
      </c>
      <c r="G16" s="30">
        <v>45702</v>
      </c>
      <c r="H16" s="20">
        <v>10031</v>
      </c>
      <c r="I16" s="20">
        <v>2571</v>
      </c>
      <c r="J16" s="20">
        <f t="shared" si="1"/>
        <v>7460</v>
      </c>
      <c r="L16" s="30">
        <v>45730</v>
      </c>
      <c r="M16" s="20">
        <v>8081</v>
      </c>
      <c r="N16" s="20">
        <v>2002</v>
      </c>
      <c r="O16" s="20">
        <f t="shared" si="2"/>
        <v>6079</v>
      </c>
      <c r="Q16" s="30">
        <v>45761</v>
      </c>
      <c r="R16" s="20">
        <v>5933</v>
      </c>
      <c r="S16" s="20">
        <v>3605</v>
      </c>
      <c r="T16" s="20">
        <f t="shared" si="3"/>
        <v>2328</v>
      </c>
      <c r="V16" s="30">
        <v>45791</v>
      </c>
      <c r="W16" s="20">
        <v>4342</v>
      </c>
      <c r="X16" s="20">
        <v>1460</v>
      </c>
      <c r="Y16" s="20">
        <f t="shared" si="4"/>
        <v>2882</v>
      </c>
      <c r="AA16" s="30">
        <v>45822</v>
      </c>
      <c r="AB16" s="20">
        <v>5701</v>
      </c>
      <c r="AC16" s="20">
        <v>1277</v>
      </c>
      <c r="AD16" s="20">
        <f t="shared" si="5"/>
        <v>4424</v>
      </c>
      <c r="AF16" s="30">
        <v>45852</v>
      </c>
      <c r="AG16" s="20">
        <v>5172</v>
      </c>
      <c r="AH16" s="20">
        <v>4249</v>
      </c>
      <c r="AI16" s="20">
        <f t="shared" si="6"/>
        <v>923</v>
      </c>
      <c r="AK16" s="30">
        <v>45883</v>
      </c>
      <c r="AL16" s="20"/>
      <c r="AM16" s="20"/>
      <c r="AN16" s="20">
        <f t="shared" si="7"/>
        <v>0</v>
      </c>
      <c r="AP16" s="30">
        <v>45914</v>
      </c>
      <c r="AQ16" s="20">
        <v>10662</v>
      </c>
      <c r="AR16" s="20"/>
      <c r="AS16" s="20">
        <f t="shared" si="8"/>
        <v>10662</v>
      </c>
      <c r="AU16" s="30">
        <v>45944</v>
      </c>
      <c r="AV16" s="20">
        <v>9122</v>
      </c>
      <c r="AW16" s="20"/>
      <c r="AX16" s="20">
        <f t="shared" si="9"/>
        <v>9122</v>
      </c>
      <c r="AZ16" s="30">
        <v>45975</v>
      </c>
      <c r="BA16" s="20">
        <v>8754</v>
      </c>
      <c r="BB16" s="20"/>
      <c r="BC16" s="20">
        <f t="shared" si="10"/>
        <v>8754</v>
      </c>
      <c r="BE16" s="30">
        <v>46005</v>
      </c>
      <c r="BF16" s="20"/>
      <c r="BG16" s="20"/>
      <c r="BH16" s="20">
        <f t="shared" si="11"/>
        <v>0</v>
      </c>
    </row>
    <row r="17" spans="2:60">
      <c r="B17" s="30">
        <v>45672</v>
      </c>
      <c r="C17" s="20">
        <v>5969</v>
      </c>
      <c r="D17" s="20">
        <v>1148</v>
      </c>
      <c r="E17" s="20">
        <f t="shared" si="0"/>
        <v>4821</v>
      </c>
      <c r="G17" s="30">
        <v>45703</v>
      </c>
      <c r="H17" s="20">
        <v>10695</v>
      </c>
      <c r="I17" s="20">
        <v>3625</v>
      </c>
      <c r="J17" s="20">
        <f t="shared" si="1"/>
        <v>7070</v>
      </c>
      <c r="L17" s="30">
        <v>45731</v>
      </c>
      <c r="M17" s="20">
        <v>12300</v>
      </c>
      <c r="N17" s="20">
        <v>4823</v>
      </c>
      <c r="O17" s="20">
        <f t="shared" si="2"/>
        <v>7477</v>
      </c>
      <c r="Q17" s="30">
        <v>45762</v>
      </c>
      <c r="R17" s="20">
        <v>9458</v>
      </c>
      <c r="S17" s="20">
        <v>1275</v>
      </c>
      <c r="T17" s="20">
        <f t="shared" si="3"/>
        <v>8183</v>
      </c>
      <c r="V17" s="30">
        <v>45792</v>
      </c>
      <c r="W17" s="20">
        <v>1136</v>
      </c>
      <c r="X17" s="20">
        <v>258</v>
      </c>
      <c r="Y17" s="20">
        <f t="shared" si="4"/>
        <v>878</v>
      </c>
      <c r="AA17" s="30">
        <v>45823</v>
      </c>
      <c r="AB17" s="20">
        <v>4702</v>
      </c>
      <c r="AC17" s="20">
        <v>3452</v>
      </c>
      <c r="AD17" s="20">
        <f t="shared" si="5"/>
        <v>1250</v>
      </c>
      <c r="AF17" s="30">
        <v>45853</v>
      </c>
      <c r="AG17" s="20">
        <v>6121</v>
      </c>
      <c r="AH17" s="20">
        <v>707</v>
      </c>
      <c r="AI17" s="20">
        <f t="shared" si="6"/>
        <v>5414</v>
      </c>
      <c r="AK17" s="30">
        <v>45884</v>
      </c>
      <c r="AL17" s="20"/>
      <c r="AM17" s="20"/>
      <c r="AN17" s="20">
        <f t="shared" si="7"/>
        <v>0</v>
      </c>
      <c r="AP17" s="30">
        <v>45915</v>
      </c>
      <c r="AQ17" s="20">
        <v>9245</v>
      </c>
      <c r="AR17" s="20"/>
      <c r="AS17" s="20">
        <f t="shared" si="8"/>
        <v>9245</v>
      </c>
      <c r="AU17" s="30">
        <v>45945</v>
      </c>
      <c r="AV17" s="20">
        <v>7493</v>
      </c>
      <c r="AW17" s="20"/>
      <c r="AX17" s="20">
        <f t="shared" si="9"/>
        <v>7493</v>
      </c>
      <c r="AZ17" s="30">
        <v>45976</v>
      </c>
      <c r="BA17" s="20">
        <v>8914</v>
      </c>
      <c r="BB17" s="20"/>
      <c r="BC17" s="20">
        <f t="shared" si="10"/>
        <v>8914</v>
      </c>
      <c r="BE17" s="30">
        <v>46006</v>
      </c>
      <c r="BF17" s="20"/>
      <c r="BG17" s="20"/>
      <c r="BH17" s="20">
        <f t="shared" si="11"/>
        <v>0</v>
      </c>
    </row>
    <row r="18" spans="2:60">
      <c r="B18" s="30">
        <v>45673</v>
      </c>
      <c r="C18" s="20">
        <v>3081</v>
      </c>
      <c r="D18" s="20">
        <v>2846</v>
      </c>
      <c r="E18" s="20">
        <f t="shared" si="0"/>
        <v>235</v>
      </c>
      <c r="G18" s="30">
        <v>45704</v>
      </c>
      <c r="H18" s="20">
        <v>11700</v>
      </c>
      <c r="I18" s="20">
        <v>2221</v>
      </c>
      <c r="J18" s="20">
        <f t="shared" si="1"/>
        <v>9479</v>
      </c>
      <c r="L18" s="30">
        <v>45732</v>
      </c>
      <c r="M18" s="20">
        <v>13538</v>
      </c>
      <c r="N18" s="20">
        <v>3829</v>
      </c>
      <c r="O18" s="20">
        <f t="shared" si="2"/>
        <v>9709</v>
      </c>
      <c r="Q18" s="30">
        <v>45763</v>
      </c>
      <c r="R18" s="20">
        <v>5278</v>
      </c>
      <c r="S18" s="20">
        <v>707</v>
      </c>
      <c r="T18" s="20">
        <f t="shared" si="3"/>
        <v>4571</v>
      </c>
      <c r="V18" s="30">
        <v>45793</v>
      </c>
      <c r="W18" s="20">
        <v>4083</v>
      </c>
      <c r="X18" s="20">
        <v>1567</v>
      </c>
      <c r="Y18" s="20">
        <f t="shared" si="4"/>
        <v>2516</v>
      </c>
      <c r="AA18" s="30">
        <v>45824</v>
      </c>
      <c r="AB18" s="20">
        <v>4656</v>
      </c>
      <c r="AC18" s="20">
        <v>2281</v>
      </c>
      <c r="AD18" s="20">
        <f t="shared" si="5"/>
        <v>2375</v>
      </c>
      <c r="AF18" s="30">
        <v>45854</v>
      </c>
      <c r="AG18" s="20"/>
      <c r="AH18" s="20"/>
      <c r="AI18" s="20">
        <f t="shared" si="6"/>
        <v>0</v>
      </c>
      <c r="AK18" s="30">
        <v>45885</v>
      </c>
      <c r="AL18" s="20"/>
      <c r="AM18" s="20"/>
      <c r="AN18" s="20">
        <f t="shared" si="7"/>
        <v>0</v>
      </c>
      <c r="AP18" s="30">
        <v>45916</v>
      </c>
      <c r="AQ18" s="20">
        <v>7849</v>
      </c>
      <c r="AR18" s="20"/>
      <c r="AS18" s="20">
        <f t="shared" si="8"/>
        <v>7849</v>
      </c>
      <c r="AU18" s="30">
        <v>45946</v>
      </c>
      <c r="AV18" s="20">
        <v>7379</v>
      </c>
      <c r="AW18" s="20"/>
      <c r="AX18" s="20">
        <f t="shared" si="9"/>
        <v>7379</v>
      </c>
      <c r="AZ18" s="30">
        <v>45977</v>
      </c>
      <c r="BA18" s="20">
        <v>8689</v>
      </c>
      <c r="BB18" s="20"/>
      <c r="BC18" s="20">
        <f t="shared" si="10"/>
        <v>8689</v>
      </c>
      <c r="BE18" s="30">
        <v>46007</v>
      </c>
      <c r="BF18" s="20"/>
      <c r="BG18" s="20"/>
      <c r="BH18" s="20">
        <f t="shared" si="11"/>
        <v>0</v>
      </c>
    </row>
    <row r="19" spans="2:60">
      <c r="B19" s="30">
        <v>45674</v>
      </c>
      <c r="C19" s="20">
        <v>5502</v>
      </c>
      <c r="D19" s="20">
        <v>2230</v>
      </c>
      <c r="E19" s="20">
        <f t="shared" si="0"/>
        <v>3272</v>
      </c>
      <c r="G19" s="30">
        <v>45705</v>
      </c>
      <c r="H19" s="20">
        <v>7602</v>
      </c>
      <c r="I19" s="20">
        <v>3205</v>
      </c>
      <c r="J19" s="20">
        <f t="shared" si="1"/>
        <v>4397</v>
      </c>
      <c r="L19" s="30">
        <v>45733</v>
      </c>
      <c r="M19" s="20">
        <v>10933</v>
      </c>
      <c r="N19" s="20">
        <v>5740</v>
      </c>
      <c r="O19" s="20">
        <f t="shared" si="2"/>
        <v>5193</v>
      </c>
      <c r="Q19" s="30">
        <v>45764</v>
      </c>
      <c r="R19" s="20">
        <v>6413</v>
      </c>
      <c r="S19" s="20">
        <v>307</v>
      </c>
      <c r="T19" s="20">
        <f t="shared" si="3"/>
        <v>6106</v>
      </c>
      <c r="V19" s="30">
        <v>45794</v>
      </c>
      <c r="W19" s="20">
        <v>3159</v>
      </c>
      <c r="X19" s="20">
        <v>1688</v>
      </c>
      <c r="Y19" s="20">
        <f t="shared" si="4"/>
        <v>1471</v>
      </c>
      <c r="AA19" s="30">
        <v>45825</v>
      </c>
      <c r="AB19" s="20">
        <v>6430</v>
      </c>
      <c r="AC19" s="20">
        <v>1170</v>
      </c>
      <c r="AD19" s="20">
        <f t="shared" si="5"/>
        <v>5260</v>
      </c>
      <c r="AF19" s="30">
        <v>45855</v>
      </c>
      <c r="AG19" s="20"/>
      <c r="AH19" s="20"/>
      <c r="AI19" s="20">
        <f t="shared" si="6"/>
        <v>0</v>
      </c>
      <c r="AK19" s="30">
        <v>45886</v>
      </c>
      <c r="AL19" s="20"/>
      <c r="AM19" s="20"/>
      <c r="AN19" s="20">
        <f t="shared" si="7"/>
        <v>0</v>
      </c>
      <c r="AP19" s="30">
        <v>45917</v>
      </c>
      <c r="AQ19" s="20">
        <v>6434</v>
      </c>
      <c r="AR19" s="20"/>
      <c r="AS19" s="20">
        <f t="shared" si="8"/>
        <v>6434</v>
      </c>
      <c r="AU19" s="30">
        <v>45947</v>
      </c>
      <c r="AV19" s="20">
        <v>14203</v>
      </c>
      <c r="AW19" s="20"/>
      <c r="AX19" s="20">
        <f t="shared" si="9"/>
        <v>14203</v>
      </c>
      <c r="AZ19" s="30">
        <v>45978</v>
      </c>
      <c r="BA19" s="20">
        <v>7853</v>
      </c>
      <c r="BB19" s="20"/>
      <c r="BC19" s="20">
        <f t="shared" si="10"/>
        <v>7853</v>
      </c>
      <c r="BE19" s="30">
        <v>46008</v>
      </c>
      <c r="BF19" s="20"/>
      <c r="BG19" s="20"/>
      <c r="BH19" s="20">
        <f t="shared" si="11"/>
        <v>0</v>
      </c>
    </row>
    <row r="20" spans="2:60">
      <c r="B20" s="30">
        <v>45675</v>
      </c>
      <c r="C20" s="20">
        <v>9164</v>
      </c>
      <c r="D20" s="20">
        <v>1377</v>
      </c>
      <c r="E20" s="20">
        <f t="shared" si="0"/>
        <v>7787</v>
      </c>
      <c r="G20" s="30">
        <v>45706</v>
      </c>
      <c r="H20" s="20">
        <v>7883</v>
      </c>
      <c r="I20" s="20">
        <v>5668</v>
      </c>
      <c r="J20" s="20">
        <f t="shared" si="1"/>
        <v>2215</v>
      </c>
      <c r="L20" s="30">
        <v>45734</v>
      </c>
      <c r="M20" s="20">
        <v>4295</v>
      </c>
      <c r="N20" s="20">
        <v>674</v>
      </c>
      <c r="O20" s="20">
        <f t="shared" si="2"/>
        <v>3621</v>
      </c>
      <c r="Q20" s="30">
        <v>45765</v>
      </c>
      <c r="R20" s="20">
        <v>8638</v>
      </c>
      <c r="S20" s="20">
        <v>4960</v>
      </c>
      <c r="T20" s="20">
        <f t="shared" si="3"/>
        <v>3678</v>
      </c>
      <c r="V20" s="30">
        <v>45795</v>
      </c>
      <c r="W20" s="20">
        <v>4165</v>
      </c>
      <c r="X20" s="20">
        <v>4210</v>
      </c>
      <c r="Y20" s="20">
        <f t="shared" si="4"/>
        <v>-45</v>
      </c>
      <c r="AA20" s="30">
        <v>45826</v>
      </c>
      <c r="AB20" s="20">
        <v>5901</v>
      </c>
      <c r="AC20" s="20">
        <v>1345</v>
      </c>
      <c r="AD20" s="20">
        <f t="shared" si="5"/>
        <v>4556</v>
      </c>
      <c r="AF20" s="30">
        <v>45856</v>
      </c>
      <c r="AG20" s="20"/>
      <c r="AH20" s="20"/>
      <c r="AI20" s="20">
        <f t="shared" si="6"/>
        <v>0</v>
      </c>
      <c r="AK20" s="30">
        <v>45887</v>
      </c>
      <c r="AL20" s="20"/>
      <c r="AM20" s="20"/>
      <c r="AN20" s="20">
        <f t="shared" si="7"/>
        <v>0</v>
      </c>
      <c r="AP20" s="30">
        <v>45918</v>
      </c>
      <c r="AQ20" s="20">
        <v>3011</v>
      </c>
      <c r="AR20" s="20"/>
      <c r="AS20" s="20">
        <f t="shared" si="8"/>
        <v>3011</v>
      </c>
      <c r="AU20" s="30">
        <v>45948</v>
      </c>
      <c r="AV20" s="20">
        <v>20080</v>
      </c>
      <c r="AW20" s="20"/>
      <c r="AX20" s="20">
        <f t="shared" si="9"/>
        <v>20080</v>
      </c>
      <c r="AZ20" s="30">
        <v>45979</v>
      </c>
      <c r="BA20" s="20">
        <v>2913</v>
      </c>
      <c r="BB20" s="20"/>
      <c r="BC20" s="20">
        <f t="shared" si="10"/>
        <v>2913</v>
      </c>
      <c r="BE20" s="30">
        <v>46009</v>
      </c>
      <c r="BF20" s="20"/>
      <c r="BG20" s="20"/>
      <c r="BH20" s="20">
        <f t="shared" si="11"/>
        <v>0</v>
      </c>
    </row>
    <row r="21" spans="2:60">
      <c r="B21" s="30">
        <v>45676</v>
      </c>
      <c r="C21" s="20">
        <v>5187</v>
      </c>
      <c r="D21" s="20">
        <v>2380</v>
      </c>
      <c r="E21" s="20">
        <f t="shared" si="0"/>
        <v>2807</v>
      </c>
      <c r="G21" s="30">
        <v>45707</v>
      </c>
      <c r="H21" s="20">
        <v>4397</v>
      </c>
      <c r="I21" s="20">
        <v>1201</v>
      </c>
      <c r="J21" s="20">
        <f t="shared" si="1"/>
        <v>3196</v>
      </c>
      <c r="L21" s="30">
        <v>45735</v>
      </c>
      <c r="M21" s="20">
        <v>8102</v>
      </c>
      <c r="N21" s="20">
        <v>895</v>
      </c>
      <c r="O21" s="20">
        <f t="shared" si="2"/>
        <v>7207</v>
      </c>
      <c r="Q21" s="30">
        <v>45766</v>
      </c>
      <c r="R21" s="20">
        <v>9139</v>
      </c>
      <c r="S21" s="20">
        <v>754</v>
      </c>
      <c r="T21" s="20">
        <f t="shared" si="3"/>
        <v>8385</v>
      </c>
      <c r="V21" s="30">
        <v>45796</v>
      </c>
      <c r="W21" s="20">
        <v>3853</v>
      </c>
      <c r="X21" s="20">
        <v>541</v>
      </c>
      <c r="Y21" s="20">
        <f t="shared" si="4"/>
        <v>3312</v>
      </c>
      <c r="AA21" s="30">
        <v>45827</v>
      </c>
      <c r="AB21" s="20">
        <v>4016</v>
      </c>
      <c r="AC21" s="20">
        <v>2975</v>
      </c>
      <c r="AD21" s="20">
        <f t="shared" si="5"/>
        <v>1041</v>
      </c>
      <c r="AF21" s="30">
        <v>45857</v>
      </c>
      <c r="AG21" s="20"/>
      <c r="AH21" s="20"/>
      <c r="AI21" s="20">
        <f t="shared" si="6"/>
        <v>0</v>
      </c>
      <c r="AK21" s="30">
        <v>45888</v>
      </c>
      <c r="AL21" s="20"/>
      <c r="AM21" s="20"/>
      <c r="AN21" s="20">
        <f t="shared" si="7"/>
        <v>0</v>
      </c>
      <c r="AP21" s="30">
        <v>45919</v>
      </c>
      <c r="AQ21" s="20">
        <v>3638</v>
      </c>
      <c r="AR21" s="20"/>
      <c r="AS21" s="20">
        <f t="shared" si="8"/>
        <v>3638</v>
      </c>
      <c r="AU21" s="30">
        <v>45949</v>
      </c>
      <c r="AV21" s="20">
        <v>16061</v>
      </c>
      <c r="AW21" s="20"/>
      <c r="AX21" s="20">
        <f t="shared" si="9"/>
        <v>16061</v>
      </c>
      <c r="AZ21" s="30">
        <v>45980</v>
      </c>
      <c r="BA21" s="20">
        <v>3928</v>
      </c>
      <c r="BB21" s="20"/>
      <c r="BC21" s="20">
        <f t="shared" si="10"/>
        <v>3928</v>
      </c>
      <c r="BE21" s="30">
        <v>46010</v>
      </c>
      <c r="BF21" s="20"/>
      <c r="BG21" s="20"/>
      <c r="BH21" s="20">
        <f t="shared" si="11"/>
        <v>0</v>
      </c>
    </row>
    <row r="22" spans="2:60">
      <c r="B22" s="30">
        <v>45677</v>
      </c>
      <c r="C22" s="20">
        <v>6740</v>
      </c>
      <c r="D22" s="20">
        <v>5494</v>
      </c>
      <c r="E22" s="20">
        <f t="shared" si="0"/>
        <v>1246</v>
      </c>
      <c r="G22" s="30">
        <v>45708</v>
      </c>
      <c r="H22" s="20">
        <v>5954</v>
      </c>
      <c r="I22" s="20">
        <v>5452</v>
      </c>
      <c r="J22" s="20">
        <f t="shared" si="1"/>
        <v>502</v>
      </c>
      <c r="L22" s="30">
        <v>45736</v>
      </c>
      <c r="M22" s="20">
        <v>6239</v>
      </c>
      <c r="N22" s="20">
        <v>5284</v>
      </c>
      <c r="O22" s="20">
        <f t="shared" si="2"/>
        <v>955</v>
      </c>
      <c r="Q22" s="30">
        <v>45767</v>
      </c>
      <c r="R22" s="20">
        <v>6948</v>
      </c>
      <c r="S22" s="20">
        <v>6137</v>
      </c>
      <c r="T22" s="20">
        <f t="shared" si="3"/>
        <v>811</v>
      </c>
      <c r="V22" s="30">
        <v>45797</v>
      </c>
      <c r="W22" s="20">
        <v>3323</v>
      </c>
      <c r="X22" s="20">
        <v>408</v>
      </c>
      <c r="Y22" s="20">
        <f t="shared" si="4"/>
        <v>2915</v>
      </c>
      <c r="AA22" s="30">
        <v>45828</v>
      </c>
      <c r="AB22" s="20">
        <v>1318</v>
      </c>
      <c r="AC22" s="20">
        <v>288</v>
      </c>
      <c r="AD22" s="20">
        <f t="shared" si="5"/>
        <v>1030</v>
      </c>
      <c r="AF22" s="30">
        <v>45858</v>
      </c>
      <c r="AG22" s="20"/>
      <c r="AH22" s="20"/>
      <c r="AI22" s="20">
        <f t="shared" si="6"/>
        <v>0</v>
      </c>
      <c r="AK22" s="30">
        <v>45889</v>
      </c>
      <c r="AL22" s="20"/>
      <c r="AM22" s="20"/>
      <c r="AN22" s="20">
        <f t="shared" si="7"/>
        <v>0</v>
      </c>
      <c r="AP22" s="30">
        <v>45920</v>
      </c>
      <c r="AQ22" s="20">
        <v>9781</v>
      </c>
      <c r="AR22" s="20"/>
      <c r="AS22" s="20">
        <f t="shared" si="8"/>
        <v>9781</v>
      </c>
      <c r="AU22" s="30">
        <v>45950</v>
      </c>
      <c r="AV22" s="20">
        <v>8238</v>
      </c>
      <c r="AW22" s="20"/>
      <c r="AX22" s="20">
        <f t="shared" si="9"/>
        <v>8238</v>
      </c>
      <c r="AZ22" s="30">
        <v>45981</v>
      </c>
      <c r="BA22" s="20">
        <v>2558</v>
      </c>
      <c r="BB22" s="20"/>
      <c r="BC22" s="20">
        <f t="shared" si="10"/>
        <v>2558</v>
      </c>
      <c r="BE22" s="30">
        <v>46011</v>
      </c>
      <c r="BF22" s="20"/>
      <c r="BG22" s="20"/>
      <c r="BH22" s="20">
        <f t="shared" si="11"/>
        <v>0</v>
      </c>
    </row>
    <row r="23" spans="2:60">
      <c r="B23" s="30">
        <v>45678</v>
      </c>
      <c r="C23" s="20">
        <v>5117</v>
      </c>
      <c r="D23" s="20">
        <v>1166</v>
      </c>
      <c r="E23" s="20">
        <f t="shared" si="0"/>
        <v>3951</v>
      </c>
      <c r="G23" s="30">
        <v>45709</v>
      </c>
      <c r="H23" s="20">
        <v>8752</v>
      </c>
      <c r="I23" s="20">
        <v>6088</v>
      </c>
      <c r="J23" s="20">
        <f t="shared" si="1"/>
        <v>2664</v>
      </c>
      <c r="L23" s="30">
        <v>45737</v>
      </c>
      <c r="M23" s="20">
        <v>6582</v>
      </c>
      <c r="N23" s="20">
        <v>2409</v>
      </c>
      <c r="O23" s="20">
        <f t="shared" si="2"/>
        <v>4173</v>
      </c>
      <c r="Q23" s="30">
        <v>45768</v>
      </c>
      <c r="R23" s="20">
        <v>5159</v>
      </c>
      <c r="S23" s="20">
        <v>3015</v>
      </c>
      <c r="T23" s="20">
        <f t="shared" si="3"/>
        <v>2144</v>
      </c>
      <c r="V23" s="30">
        <v>45798</v>
      </c>
      <c r="W23" s="20">
        <v>1104</v>
      </c>
      <c r="X23" s="20">
        <v>108</v>
      </c>
      <c r="Y23" s="20">
        <f t="shared" si="4"/>
        <v>996</v>
      </c>
      <c r="AA23" s="30">
        <v>45829</v>
      </c>
      <c r="AB23" s="20">
        <v>4128</v>
      </c>
      <c r="AC23" s="20">
        <v>939</v>
      </c>
      <c r="AD23" s="20">
        <f t="shared" si="5"/>
        <v>3189</v>
      </c>
      <c r="AF23" s="30">
        <v>45859</v>
      </c>
      <c r="AG23" s="20"/>
      <c r="AH23" s="20"/>
      <c r="AI23" s="20">
        <f t="shared" si="6"/>
        <v>0</v>
      </c>
      <c r="AK23" s="30">
        <v>45890</v>
      </c>
      <c r="AL23" s="20"/>
      <c r="AM23" s="20"/>
      <c r="AN23" s="20">
        <f t="shared" si="7"/>
        <v>0</v>
      </c>
      <c r="AP23" s="30">
        <v>45921</v>
      </c>
      <c r="AQ23" s="20">
        <v>5340</v>
      </c>
      <c r="AR23" s="20"/>
      <c r="AS23" s="20">
        <f t="shared" si="8"/>
        <v>5340</v>
      </c>
      <c r="AU23" s="30">
        <v>45951</v>
      </c>
      <c r="AV23" s="20">
        <v>10279</v>
      </c>
      <c r="AW23" s="20"/>
      <c r="AX23" s="20">
        <f t="shared" si="9"/>
        <v>10279</v>
      </c>
      <c r="AZ23" s="30">
        <v>45982</v>
      </c>
      <c r="BA23" s="20">
        <v>4668</v>
      </c>
      <c r="BB23" s="20"/>
      <c r="BC23" s="20">
        <f t="shared" si="10"/>
        <v>4668</v>
      </c>
      <c r="BE23" s="30">
        <v>46012</v>
      </c>
      <c r="BF23" s="20"/>
      <c r="BG23" s="20"/>
      <c r="BH23" s="20">
        <f t="shared" si="11"/>
        <v>0</v>
      </c>
    </row>
    <row r="24" spans="2:60">
      <c r="B24" s="30">
        <v>45679</v>
      </c>
      <c r="C24" s="20">
        <v>3983</v>
      </c>
      <c r="D24" s="20">
        <v>1030</v>
      </c>
      <c r="E24" s="20">
        <f t="shared" si="0"/>
        <v>2953</v>
      </c>
      <c r="G24" s="30">
        <v>45710</v>
      </c>
      <c r="H24" s="20">
        <v>8888</v>
      </c>
      <c r="I24" s="20">
        <v>1642</v>
      </c>
      <c r="J24" s="20">
        <f t="shared" si="1"/>
        <v>7246</v>
      </c>
      <c r="L24" s="30">
        <v>45738</v>
      </c>
      <c r="M24" s="20">
        <v>11077</v>
      </c>
      <c r="N24" s="20">
        <v>4749</v>
      </c>
      <c r="O24" s="20">
        <f t="shared" si="2"/>
        <v>6328</v>
      </c>
      <c r="Q24" s="30">
        <v>45769</v>
      </c>
      <c r="R24" s="20">
        <v>2456</v>
      </c>
      <c r="S24" s="20">
        <v>1385</v>
      </c>
      <c r="T24" s="20">
        <f t="shared" si="3"/>
        <v>1071</v>
      </c>
      <c r="V24" s="30">
        <v>45799</v>
      </c>
      <c r="W24" s="20">
        <v>6043</v>
      </c>
      <c r="X24" s="20">
        <v>3259</v>
      </c>
      <c r="Y24" s="20">
        <f t="shared" si="4"/>
        <v>2784</v>
      </c>
      <c r="AA24" s="30">
        <v>45830</v>
      </c>
      <c r="AB24" s="20">
        <v>8555</v>
      </c>
      <c r="AC24" s="20">
        <v>4643</v>
      </c>
      <c r="AD24" s="20">
        <f t="shared" si="5"/>
        <v>3912</v>
      </c>
      <c r="AF24" s="30">
        <v>45860</v>
      </c>
      <c r="AG24" s="20"/>
      <c r="AH24" s="20"/>
      <c r="AI24" s="20">
        <f t="shared" si="6"/>
        <v>0</v>
      </c>
      <c r="AK24" s="30">
        <v>45891</v>
      </c>
      <c r="AL24" s="20"/>
      <c r="AM24" s="20"/>
      <c r="AN24" s="20">
        <f t="shared" si="7"/>
        <v>0</v>
      </c>
      <c r="AP24" s="30">
        <v>45922</v>
      </c>
      <c r="AQ24" s="20">
        <v>5364</v>
      </c>
      <c r="AR24" s="20"/>
      <c r="AS24" s="20">
        <f t="shared" si="8"/>
        <v>5364</v>
      </c>
      <c r="AU24" s="30">
        <v>45952</v>
      </c>
      <c r="AV24" s="20">
        <v>7182</v>
      </c>
      <c r="AW24" s="20"/>
      <c r="AX24" s="20">
        <f t="shared" si="9"/>
        <v>7182</v>
      </c>
      <c r="AZ24" s="30">
        <v>45983</v>
      </c>
      <c r="BA24" s="20">
        <v>11311</v>
      </c>
      <c r="BB24" s="20"/>
      <c r="BC24" s="20">
        <f t="shared" si="10"/>
        <v>11311</v>
      </c>
      <c r="BE24" s="30">
        <v>46013</v>
      </c>
      <c r="BF24" s="20"/>
      <c r="BG24" s="20"/>
      <c r="BH24" s="20">
        <f t="shared" si="11"/>
        <v>0</v>
      </c>
    </row>
    <row r="25" spans="2:60">
      <c r="B25" s="30">
        <v>45680</v>
      </c>
      <c r="C25" s="20">
        <v>4960</v>
      </c>
      <c r="D25" s="20">
        <v>2433</v>
      </c>
      <c r="E25" s="20">
        <f t="shared" si="0"/>
        <v>2527</v>
      </c>
      <c r="G25" s="30">
        <v>45711</v>
      </c>
      <c r="H25" s="20">
        <v>10482</v>
      </c>
      <c r="I25" s="20">
        <v>7365</v>
      </c>
      <c r="J25" s="20">
        <f t="shared" si="1"/>
        <v>3117</v>
      </c>
      <c r="L25" s="30">
        <v>45739</v>
      </c>
      <c r="M25" s="20">
        <v>9332</v>
      </c>
      <c r="N25" s="20">
        <v>5976</v>
      </c>
      <c r="O25" s="20">
        <f t="shared" si="2"/>
        <v>3356</v>
      </c>
      <c r="Q25" s="30">
        <v>45770</v>
      </c>
      <c r="R25" s="20">
        <v>3623</v>
      </c>
      <c r="S25" s="20">
        <v>300</v>
      </c>
      <c r="T25" s="20">
        <f t="shared" si="3"/>
        <v>3323</v>
      </c>
      <c r="V25" s="30">
        <v>45800</v>
      </c>
      <c r="W25" s="20">
        <v>6258</v>
      </c>
      <c r="X25" s="20">
        <v>2224</v>
      </c>
      <c r="Y25" s="20">
        <f t="shared" si="4"/>
        <v>4034</v>
      </c>
      <c r="AA25" s="30">
        <v>45831</v>
      </c>
      <c r="AB25" s="20">
        <v>1955</v>
      </c>
      <c r="AC25" s="20">
        <v>2270</v>
      </c>
      <c r="AD25" s="20">
        <f t="shared" si="5"/>
        <v>-315</v>
      </c>
      <c r="AF25" s="30">
        <v>45861</v>
      </c>
      <c r="AG25" s="20"/>
      <c r="AH25" s="20"/>
      <c r="AI25" s="20">
        <f t="shared" si="6"/>
        <v>0</v>
      </c>
      <c r="AK25" s="30">
        <v>45892</v>
      </c>
      <c r="AL25" s="20"/>
      <c r="AM25" s="20"/>
      <c r="AN25" s="20">
        <f t="shared" si="7"/>
        <v>0</v>
      </c>
      <c r="AP25" s="30">
        <v>45923</v>
      </c>
      <c r="AQ25" s="20">
        <v>6339</v>
      </c>
      <c r="AR25" s="20"/>
      <c r="AS25" s="20">
        <f t="shared" si="8"/>
        <v>6339</v>
      </c>
      <c r="AU25" s="30">
        <v>45953</v>
      </c>
      <c r="AV25" s="20">
        <v>8307</v>
      </c>
      <c r="AW25" s="20"/>
      <c r="AX25" s="20">
        <f t="shared" si="9"/>
        <v>8307</v>
      </c>
      <c r="AZ25" s="30">
        <v>45984</v>
      </c>
      <c r="BA25" s="20">
        <v>7972</v>
      </c>
      <c r="BB25" s="20"/>
      <c r="BC25" s="20">
        <f t="shared" si="10"/>
        <v>7972</v>
      </c>
      <c r="BE25" s="30">
        <v>46014</v>
      </c>
      <c r="BF25" s="20"/>
      <c r="BG25" s="20"/>
      <c r="BH25" s="20">
        <f t="shared" si="11"/>
        <v>0</v>
      </c>
    </row>
    <row r="26" spans="2:60">
      <c r="B26" s="30">
        <v>45681</v>
      </c>
      <c r="C26" s="20">
        <v>5075</v>
      </c>
      <c r="D26" s="20">
        <v>2080</v>
      </c>
      <c r="E26" s="20">
        <f t="shared" si="0"/>
        <v>2995</v>
      </c>
      <c r="G26" s="30">
        <v>45712</v>
      </c>
      <c r="H26" s="20">
        <v>6379</v>
      </c>
      <c r="I26" s="20">
        <v>2961</v>
      </c>
      <c r="J26" s="20">
        <f t="shared" si="1"/>
        <v>3418</v>
      </c>
      <c r="L26" s="30">
        <v>45740</v>
      </c>
      <c r="M26" s="20">
        <v>8605</v>
      </c>
      <c r="N26" s="20">
        <v>3438</v>
      </c>
      <c r="O26" s="20">
        <f t="shared" si="2"/>
        <v>5167</v>
      </c>
      <c r="Q26" s="30">
        <v>45771</v>
      </c>
      <c r="R26" s="20">
        <v>4223</v>
      </c>
      <c r="S26" s="20">
        <v>3705</v>
      </c>
      <c r="T26" s="20">
        <f t="shared" si="3"/>
        <v>518</v>
      </c>
      <c r="V26" s="30">
        <v>45801</v>
      </c>
      <c r="W26" s="20">
        <v>7127</v>
      </c>
      <c r="X26" s="20">
        <v>1829</v>
      </c>
      <c r="Y26" s="20">
        <f t="shared" si="4"/>
        <v>5298</v>
      </c>
      <c r="AA26" s="30">
        <v>45832</v>
      </c>
      <c r="AB26" s="20">
        <v>4359</v>
      </c>
      <c r="AC26" s="20">
        <v>563</v>
      </c>
      <c r="AD26" s="20">
        <f t="shared" si="5"/>
        <v>3796</v>
      </c>
      <c r="AF26" s="30">
        <v>45862</v>
      </c>
      <c r="AG26" s="20"/>
      <c r="AH26" s="20"/>
      <c r="AI26" s="20">
        <f t="shared" si="6"/>
        <v>0</v>
      </c>
      <c r="AK26" s="30">
        <v>45893</v>
      </c>
      <c r="AL26" s="20"/>
      <c r="AM26" s="20"/>
      <c r="AN26" s="20">
        <f t="shared" si="7"/>
        <v>0</v>
      </c>
      <c r="AP26" s="30">
        <v>45924</v>
      </c>
      <c r="AQ26" s="20">
        <v>2235</v>
      </c>
      <c r="AR26" s="20"/>
      <c r="AS26" s="20">
        <f t="shared" si="8"/>
        <v>2235</v>
      </c>
      <c r="AU26" s="30">
        <v>45954</v>
      </c>
      <c r="AV26" s="20">
        <v>11935</v>
      </c>
      <c r="AW26" s="20"/>
      <c r="AX26" s="20">
        <f t="shared" si="9"/>
        <v>11935</v>
      </c>
      <c r="AZ26" s="30">
        <v>45985</v>
      </c>
      <c r="BA26" s="20">
        <v>4896</v>
      </c>
      <c r="BB26" s="20"/>
      <c r="BC26" s="20">
        <f t="shared" si="10"/>
        <v>4896</v>
      </c>
      <c r="BE26" s="30">
        <v>46015</v>
      </c>
      <c r="BF26" s="20"/>
      <c r="BG26" s="20"/>
      <c r="BH26" s="20">
        <f t="shared" si="11"/>
        <v>0</v>
      </c>
    </row>
    <row r="27" spans="2:60">
      <c r="B27" s="30">
        <v>45682</v>
      </c>
      <c r="C27" s="20">
        <v>8919</v>
      </c>
      <c r="D27" s="20">
        <v>7185</v>
      </c>
      <c r="E27" s="20">
        <f t="shared" si="0"/>
        <v>1734</v>
      </c>
      <c r="G27" s="30">
        <v>45713</v>
      </c>
      <c r="H27" s="20">
        <v>7304</v>
      </c>
      <c r="I27" s="20">
        <v>1429</v>
      </c>
      <c r="J27" s="20">
        <f t="shared" si="1"/>
        <v>5875</v>
      </c>
      <c r="L27" s="30">
        <v>45741</v>
      </c>
      <c r="M27" s="20">
        <v>7305</v>
      </c>
      <c r="N27" s="20">
        <v>786</v>
      </c>
      <c r="O27" s="20">
        <f t="shared" si="2"/>
        <v>6519</v>
      </c>
      <c r="Q27" s="30">
        <v>45772</v>
      </c>
      <c r="R27" s="20">
        <v>2195</v>
      </c>
      <c r="S27" s="20">
        <v>1765</v>
      </c>
      <c r="T27" s="20">
        <f t="shared" si="3"/>
        <v>430</v>
      </c>
      <c r="V27" s="30">
        <v>45802</v>
      </c>
      <c r="W27" s="20">
        <v>10005</v>
      </c>
      <c r="X27" s="20">
        <v>3935</v>
      </c>
      <c r="Y27" s="20">
        <f t="shared" si="4"/>
        <v>6070</v>
      </c>
      <c r="AA27" s="30">
        <v>45833</v>
      </c>
      <c r="AB27" s="20">
        <v>6231</v>
      </c>
      <c r="AC27" s="20">
        <v>1922</v>
      </c>
      <c r="AD27" s="20">
        <f t="shared" si="5"/>
        <v>4309</v>
      </c>
      <c r="AF27" s="30">
        <v>45863</v>
      </c>
      <c r="AG27" s="20"/>
      <c r="AH27" s="20"/>
      <c r="AI27" s="20">
        <f t="shared" si="6"/>
        <v>0</v>
      </c>
      <c r="AK27" s="30">
        <v>45894</v>
      </c>
      <c r="AL27" s="20"/>
      <c r="AM27" s="20"/>
      <c r="AN27" s="20">
        <f t="shared" si="7"/>
        <v>0</v>
      </c>
      <c r="AP27" s="30">
        <v>45925</v>
      </c>
      <c r="AQ27" s="20">
        <v>3212</v>
      </c>
      <c r="AR27" s="20"/>
      <c r="AS27" s="20">
        <f t="shared" si="8"/>
        <v>3212</v>
      </c>
      <c r="AU27" s="30">
        <v>45955</v>
      </c>
      <c r="AV27" s="20">
        <v>17854</v>
      </c>
      <c r="AW27" s="20"/>
      <c r="AX27" s="20">
        <f t="shared" si="9"/>
        <v>17854</v>
      </c>
      <c r="AZ27" s="30">
        <v>45986</v>
      </c>
      <c r="BA27" s="20">
        <v>4408</v>
      </c>
      <c r="BB27" s="20"/>
      <c r="BC27" s="20">
        <f t="shared" si="10"/>
        <v>4408</v>
      </c>
      <c r="BE27" s="30">
        <v>46016</v>
      </c>
      <c r="BF27" s="20"/>
      <c r="BG27" s="20"/>
      <c r="BH27" s="20">
        <f t="shared" si="11"/>
        <v>0</v>
      </c>
    </row>
    <row r="28" spans="2:60">
      <c r="B28" s="30">
        <v>45683</v>
      </c>
      <c r="C28" s="20">
        <v>5898</v>
      </c>
      <c r="D28" s="20">
        <v>2455</v>
      </c>
      <c r="E28" s="20">
        <f t="shared" si="0"/>
        <v>3443</v>
      </c>
      <c r="G28" s="30">
        <v>45714</v>
      </c>
      <c r="H28" s="20">
        <v>4492</v>
      </c>
      <c r="I28" s="20">
        <v>1092</v>
      </c>
      <c r="J28" s="20">
        <f t="shared" si="1"/>
        <v>3400</v>
      </c>
      <c r="L28" s="30">
        <v>45742</v>
      </c>
      <c r="M28" s="20">
        <v>4257</v>
      </c>
      <c r="N28" s="20">
        <v>176</v>
      </c>
      <c r="O28" s="20">
        <f t="shared" si="2"/>
        <v>4081</v>
      </c>
      <c r="Q28" s="30">
        <v>45773</v>
      </c>
      <c r="R28" s="20">
        <v>7318</v>
      </c>
      <c r="S28" s="20">
        <v>1086</v>
      </c>
      <c r="T28" s="20">
        <f t="shared" si="3"/>
        <v>6232</v>
      </c>
      <c r="V28" s="30">
        <v>45803</v>
      </c>
      <c r="W28" s="20">
        <v>2791</v>
      </c>
      <c r="X28" s="20">
        <v>795</v>
      </c>
      <c r="Y28" s="20">
        <f t="shared" si="4"/>
        <v>1996</v>
      </c>
      <c r="AA28" s="30">
        <v>45834</v>
      </c>
      <c r="AB28" s="20">
        <v>5058</v>
      </c>
      <c r="AC28" s="20">
        <v>3734</v>
      </c>
      <c r="AD28" s="20">
        <f t="shared" si="5"/>
        <v>1324</v>
      </c>
      <c r="AF28" s="30">
        <v>45864</v>
      </c>
      <c r="AG28" s="20"/>
      <c r="AH28" s="20"/>
      <c r="AI28" s="20">
        <f t="shared" si="6"/>
        <v>0</v>
      </c>
      <c r="AK28" s="30">
        <v>45895</v>
      </c>
      <c r="AL28" s="20"/>
      <c r="AM28" s="20"/>
      <c r="AN28" s="20">
        <f t="shared" si="7"/>
        <v>0</v>
      </c>
      <c r="AP28" s="30">
        <v>45926</v>
      </c>
      <c r="AQ28" s="20">
        <v>4018</v>
      </c>
      <c r="AR28" s="20"/>
      <c r="AS28" s="20">
        <f t="shared" si="8"/>
        <v>4018</v>
      </c>
      <c r="AU28" s="30">
        <v>45956</v>
      </c>
      <c r="AV28" s="20">
        <v>11808</v>
      </c>
      <c r="AW28" s="20"/>
      <c r="AX28" s="20">
        <f t="shared" si="9"/>
        <v>11808</v>
      </c>
      <c r="AZ28" s="30">
        <v>45987</v>
      </c>
      <c r="BA28" s="20"/>
      <c r="BB28" s="20"/>
      <c r="BC28" s="20">
        <f t="shared" si="10"/>
        <v>0</v>
      </c>
      <c r="BE28" s="30">
        <v>46017</v>
      </c>
      <c r="BF28" s="20"/>
      <c r="BG28" s="20"/>
      <c r="BH28" s="20">
        <f t="shared" si="11"/>
        <v>0</v>
      </c>
    </row>
    <row r="29" spans="2:60">
      <c r="B29" s="30">
        <v>45684</v>
      </c>
      <c r="C29" s="20">
        <v>6030</v>
      </c>
      <c r="D29" s="20">
        <v>2880</v>
      </c>
      <c r="E29" s="20">
        <f t="shared" si="0"/>
        <v>3150</v>
      </c>
      <c r="G29" s="30">
        <v>45715</v>
      </c>
      <c r="H29" s="20">
        <v>5493</v>
      </c>
      <c r="I29" s="20">
        <v>764</v>
      </c>
      <c r="J29" s="20">
        <f t="shared" si="1"/>
        <v>4729</v>
      </c>
      <c r="L29" s="30">
        <v>45743</v>
      </c>
      <c r="M29" s="20">
        <v>4091</v>
      </c>
      <c r="N29" s="20">
        <v>3690</v>
      </c>
      <c r="O29" s="20">
        <f t="shared" si="2"/>
        <v>401</v>
      </c>
      <c r="Q29" s="30">
        <v>45774</v>
      </c>
      <c r="R29" s="20">
        <v>3548</v>
      </c>
      <c r="S29" s="20">
        <v>470</v>
      </c>
      <c r="T29" s="20">
        <f t="shared" si="3"/>
        <v>3078</v>
      </c>
      <c r="V29" s="30">
        <v>45804</v>
      </c>
      <c r="W29" s="20">
        <v>2860</v>
      </c>
      <c r="X29" s="20">
        <v>453</v>
      </c>
      <c r="Y29" s="20">
        <f t="shared" si="4"/>
        <v>2407</v>
      </c>
      <c r="AA29" s="30">
        <v>45835</v>
      </c>
      <c r="AB29" s="20">
        <v>6980</v>
      </c>
      <c r="AC29" s="20">
        <v>1947</v>
      </c>
      <c r="AD29" s="20">
        <f t="shared" si="5"/>
        <v>5033</v>
      </c>
      <c r="AF29" s="30">
        <v>45865</v>
      </c>
      <c r="AG29" s="20"/>
      <c r="AH29" s="20"/>
      <c r="AI29" s="20">
        <f t="shared" si="6"/>
        <v>0</v>
      </c>
      <c r="AK29" s="30">
        <v>45896</v>
      </c>
      <c r="AL29" s="20"/>
      <c r="AM29" s="20"/>
      <c r="AN29" s="20">
        <f t="shared" si="7"/>
        <v>0</v>
      </c>
      <c r="AP29" s="30">
        <v>45927</v>
      </c>
      <c r="AQ29" s="20">
        <v>7110</v>
      </c>
      <c r="AR29" s="20"/>
      <c r="AS29" s="20">
        <f t="shared" si="8"/>
        <v>7110</v>
      </c>
      <c r="AU29" s="30">
        <v>45957</v>
      </c>
      <c r="AV29" s="20">
        <v>5828</v>
      </c>
      <c r="AW29" s="20"/>
      <c r="AX29" s="20">
        <f t="shared" si="9"/>
        <v>5828</v>
      </c>
      <c r="AZ29" s="30">
        <v>45988</v>
      </c>
      <c r="BA29" s="20"/>
      <c r="BB29" s="20"/>
      <c r="BC29" s="20">
        <f t="shared" si="10"/>
        <v>0</v>
      </c>
      <c r="BE29" s="30">
        <v>46018</v>
      </c>
      <c r="BF29" s="20"/>
      <c r="BG29" s="20"/>
      <c r="BH29" s="20">
        <f t="shared" si="11"/>
        <v>0</v>
      </c>
    </row>
    <row r="30" spans="2:60">
      <c r="B30" s="30">
        <v>45685</v>
      </c>
      <c r="C30" s="20">
        <v>5083</v>
      </c>
      <c r="D30" s="20">
        <v>653</v>
      </c>
      <c r="E30" s="20">
        <f t="shared" si="0"/>
        <v>4430</v>
      </c>
      <c r="G30" s="30">
        <v>45716</v>
      </c>
      <c r="H30" s="20">
        <v>9082</v>
      </c>
      <c r="I30" s="20">
        <v>3949</v>
      </c>
      <c r="J30" s="20">
        <f t="shared" si="1"/>
        <v>5133</v>
      </c>
      <c r="L30" s="30">
        <v>45744</v>
      </c>
      <c r="M30" s="20">
        <v>8543</v>
      </c>
      <c r="N30" s="20">
        <v>4691</v>
      </c>
      <c r="O30" s="20">
        <f t="shared" si="2"/>
        <v>3852</v>
      </c>
      <c r="Q30" s="30">
        <v>45775</v>
      </c>
      <c r="R30" s="20">
        <v>3291</v>
      </c>
      <c r="S30" s="20">
        <v>87</v>
      </c>
      <c r="T30" s="20">
        <f t="shared" si="3"/>
        <v>3204</v>
      </c>
      <c r="V30" s="30">
        <v>45805</v>
      </c>
      <c r="W30" s="20">
        <v>2593</v>
      </c>
      <c r="X30" s="20">
        <v>58</v>
      </c>
      <c r="Y30" s="20">
        <f t="shared" si="4"/>
        <v>2535</v>
      </c>
      <c r="AA30" s="30">
        <v>45836</v>
      </c>
      <c r="AB30" s="20">
        <v>7978</v>
      </c>
      <c r="AC30" s="20">
        <v>3341</v>
      </c>
      <c r="AD30" s="20">
        <f t="shared" si="5"/>
        <v>4637</v>
      </c>
      <c r="AF30" s="30">
        <v>45866</v>
      </c>
      <c r="AG30" s="20"/>
      <c r="AH30" s="20"/>
      <c r="AI30" s="20">
        <f t="shared" si="6"/>
        <v>0</v>
      </c>
      <c r="AK30" s="30">
        <v>45897</v>
      </c>
      <c r="AL30" s="20"/>
      <c r="AM30" s="20"/>
      <c r="AN30" s="20">
        <f t="shared" si="7"/>
        <v>0</v>
      </c>
      <c r="AP30" s="30">
        <v>45928</v>
      </c>
      <c r="AQ30" s="20">
        <v>6841</v>
      </c>
      <c r="AR30" s="20"/>
      <c r="AS30" s="20">
        <f t="shared" si="8"/>
        <v>6841</v>
      </c>
      <c r="AU30" s="30">
        <v>45958</v>
      </c>
      <c r="AV30" s="20">
        <v>7883</v>
      </c>
      <c r="AW30" s="20"/>
      <c r="AX30" s="20">
        <f t="shared" si="9"/>
        <v>7883</v>
      </c>
      <c r="AZ30" s="30">
        <v>45989</v>
      </c>
      <c r="BA30" s="20"/>
      <c r="BB30" s="20"/>
      <c r="BC30" s="20">
        <f t="shared" si="10"/>
        <v>0</v>
      </c>
      <c r="BE30" s="30">
        <v>46019</v>
      </c>
      <c r="BF30" s="20"/>
      <c r="BG30" s="20"/>
      <c r="BH30" s="20">
        <f t="shared" si="11"/>
        <v>0</v>
      </c>
    </row>
    <row r="31" spans="2:60">
      <c r="B31" s="30">
        <v>45686</v>
      </c>
      <c r="C31" s="20">
        <v>5184</v>
      </c>
      <c r="D31" s="20">
        <v>216</v>
      </c>
      <c r="E31" s="20">
        <f t="shared" si="0"/>
        <v>4968</v>
      </c>
      <c r="G31" s="30">
        <v>45717</v>
      </c>
      <c r="H31" s="20"/>
      <c r="I31" s="20"/>
      <c r="J31" s="20">
        <f t="shared" si="1"/>
        <v>0</v>
      </c>
      <c r="L31" s="30">
        <v>45745</v>
      </c>
      <c r="M31" s="20">
        <v>9355</v>
      </c>
      <c r="N31" s="20">
        <v>4235</v>
      </c>
      <c r="O31" s="20">
        <f t="shared" si="2"/>
        <v>5120</v>
      </c>
      <c r="Q31" s="30">
        <v>45776</v>
      </c>
      <c r="R31" s="20">
        <v>3288</v>
      </c>
      <c r="S31" s="20">
        <v>380</v>
      </c>
      <c r="T31" s="20">
        <f t="shared" si="3"/>
        <v>2908</v>
      </c>
      <c r="V31" s="30">
        <v>45806</v>
      </c>
      <c r="W31" s="20">
        <v>4566</v>
      </c>
      <c r="X31" s="20">
        <v>2791</v>
      </c>
      <c r="Y31" s="20">
        <f t="shared" si="4"/>
        <v>1775</v>
      </c>
      <c r="AA31" s="30">
        <v>45837</v>
      </c>
      <c r="AB31" s="20">
        <v>5561</v>
      </c>
      <c r="AC31" s="20">
        <v>4495</v>
      </c>
      <c r="AD31" s="20">
        <f t="shared" si="5"/>
        <v>1066</v>
      </c>
      <c r="AF31" s="30">
        <v>45867</v>
      </c>
      <c r="AG31" s="20"/>
      <c r="AH31" s="20"/>
      <c r="AI31" s="20">
        <f t="shared" si="6"/>
        <v>0</v>
      </c>
      <c r="AK31" s="30">
        <v>45898</v>
      </c>
      <c r="AL31" s="20"/>
      <c r="AM31" s="20"/>
      <c r="AN31" s="20">
        <f t="shared" si="7"/>
        <v>0</v>
      </c>
      <c r="AP31" s="30">
        <v>45929</v>
      </c>
      <c r="AQ31" s="20">
        <v>6029</v>
      </c>
      <c r="AR31" s="20"/>
      <c r="AS31" s="20">
        <f t="shared" si="8"/>
        <v>6029</v>
      </c>
      <c r="AU31" s="30">
        <v>45959</v>
      </c>
      <c r="AV31" s="20">
        <v>7076</v>
      </c>
      <c r="AW31" s="20"/>
      <c r="AX31" s="20">
        <f t="shared" si="9"/>
        <v>7076</v>
      </c>
      <c r="AZ31" s="30">
        <v>45990</v>
      </c>
      <c r="BA31" s="20"/>
      <c r="BB31" s="20"/>
      <c r="BC31" s="20">
        <f t="shared" si="10"/>
        <v>0</v>
      </c>
      <c r="BE31" s="30">
        <v>46020</v>
      </c>
      <c r="BF31" s="20"/>
      <c r="BG31" s="20"/>
      <c r="BH31" s="20">
        <f t="shared" si="11"/>
        <v>0</v>
      </c>
    </row>
    <row r="32" spans="2:60">
      <c r="B32" s="30">
        <v>45687</v>
      </c>
      <c r="C32" s="20">
        <v>3663</v>
      </c>
      <c r="D32" s="20">
        <v>2811</v>
      </c>
      <c r="E32" s="20">
        <f t="shared" si="0"/>
        <v>852</v>
      </c>
      <c r="G32" s="30">
        <v>45718</v>
      </c>
      <c r="H32" s="20"/>
      <c r="I32" s="20"/>
      <c r="J32" s="20">
        <f t="shared" si="1"/>
        <v>0</v>
      </c>
      <c r="L32" s="30">
        <v>45746</v>
      </c>
      <c r="M32" s="20">
        <v>6682</v>
      </c>
      <c r="N32" s="20">
        <v>3686</v>
      </c>
      <c r="O32" s="20">
        <f t="shared" si="2"/>
        <v>2996</v>
      </c>
      <c r="Q32" s="30">
        <v>45777</v>
      </c>
      <c r="R32" s="20">
        <v>4015</v>
      </c>
      <c r="S32" s="20">
        <v>90</v>
      </c>
      <c r="T32" s="20">
        <f t="shared" si="3"/>
        <v>3925</v>
      </c>
      <c r="V32" s="30">
        <v>45807</v>
      </c>
      <c r="W32" s="20">
        <v>7700</v>
      </c>
      <c r="X32" s="20">
        <v>2915</v>
      </c>
      <c r="Y32" s="20">
        <f t="shared" si="4"/>
        <v>4785</v>
      </c>
      <c r="AA32" s="30">
        <v>45838</v>
      </c>
      <c r="AB32" s="20">
        <v>2330</v>
      </c>
      <c r="AC32" s="20">
        <v>2353</v>
      </c>
      <c r="AD32" s="20">
        <f t="shared" si="5"/>
        <v>-23</v>
      </c>
      <c r="AF32" s="30">
        <v>45868</v>
      </c>
      <c r="AG32" s="20"/>
      <c r="AH32" s="20"/>
      <c r="AI32" s="20">
        <f t="shared" si="6"/>
        <v>0</v>
      </c>
      <c r="AK32" s="30">
        <v>45899</v>
      </c>
      <c r="AL32" s="20"/>
      <c r="AM32" s="20"/>
      <c r="AN32" s="20">
        <f t="shared" si="7"/>
        <v>0</v>
      </c>
      <c r="AP32" s="30">
        <v>45930</v>
      </c>
      <c r="AQ32" s="20">
        <v>5282</v>
      </c>
      <c r="AR32" s="20"/>
      <c r="AS32" s="20">
        <f t="shared" si="8"/>
        <v>5282</v>
      </c>
      <c r="AU32" s="30">
        <v>45960</v>
      </c>
      <c r="AV32" s="20">
        <v>7712</v>
      </c>
      <c r="AW32" s="20"/>
      <c r="AX32" s="20">
        <f t="shared" si="9"/>
        <v>7712</v>
      </c>
      <c r="AZ32" s="30">
        <v>45991</v>
      </c>
      <c r="BA32" s="20"/>
      <c r="BB32" s="20"/>
      <c r="BC32" s="20">
        <f t="shared" si="10"/>
        <v>0</v>
      </c>
      <c r="BE32" s="30">
        <v>46021</v>
      </c>
      <c r="BF32" s="20"/>
      <c r="BG32" s="20"/>
      <c r="BH32" s="20">
        <f t="shared" si="11"/>
        <v>0</v>
      </c>
    </row>
    <row r="33" spans="2:60">
      <c r="B33" s="30">
        <v>45688</v>
      </c>
      <c r="C33" s="20">
        <v>4121</v>
      </c>
      <c r="D33" s="20">
        <v>1803</v>
      </c>
      <c r="E33" s="20">
        <f t="shared" si="0"/>
        <v>2318</v>
      </c>
      <c r="G33" s="30">
        <v>45719</v>
      </c>
      <c r="H33" s="20"/>
      <c r="I33" s="20"/>
      <c r="J33" s="20">
        <f t="shared" si="1"/>
        <v>0</v>
      </c>
      <c r="L33" s="30">
        <v>45747</v>
      </c>
      <c r="M33" s="20">
        <v>6459</v>
      </c>
      <c r="N33" s="20">
        <v>2690</v>
      </c>
      <c r="O33" s="20">
        <f t="shared" si="2"/>
        <v>3769</v>
      </c>
      <c r="Q33" s="30">
        <v>45778</v>
      </c>
      <c r="R33" s="20"/>
      <c r="S33" s="20"/>
      <c r="T33" s="20">
        <f t="shared" si="3"/>
        <v>0</v>
      </c>
      <c r="V33" s="30">
        <v>45808</v>
      </c>
      <c r="W33" s="20">
        <v>8826</v>
      </c>
      <c r="X33" s="20">
        <v>1196</v>
      </c>
      <c r="Y33" s="20">
        <f t="shared" si="4"/>
        <v>7630</v>
      </c>
      <c r="AA33" s="30">
        <v>45839</v>
      </c>
      <c r="AB33" s="20"/>
      <c r="AC33" s="20"/>
      <c r="AD33" s="20">
        <f t="shared" si="5"/>
        <v>0</v>
      </c>
      <c r="AF33" s="30">
        <v>45869</v>
      </c>
      <c r="AG33" s="20"/>
      <c r="AH33" s="20"/>
      <c r="AI33" s="20">
        <f t="shared" si="6"/>
        <v>0</v>
      </c>
      <c r="AK33" s="30">
        <v>45900</v>
      </c>
      <c r="AL33" s="20"/>
      <c r="AM33" s="20"/>
      <c r="AN33" s="20">
        <f t="shared" si="7"/>
        <v>0</v>
      </c>
      <c r="AP33" s="30">
        <v>45931</v>
      </c>
      <c r="AQ33" s="20"/>
      <c r="AR33" s="20"/>
      <c r="AS33" s="20">
        <f t="shared" si="8"/>
        <v>0</v>
      </c>
      <c r="AU33" s="30">
        <v>45961</v>
      </c>
      <c r="AV33" s="20">
        <v>7790</v>
      </c>
      <c r="AW33" s="20"/>
      <c r="AX33" s="20">
        <f t="shared" si="9"/>
        <v>7790</v>
      </c>
      <c r="AZ33" s="30">
        <v>45992</v>
      </c>
      <c r="BA33" s="20"/>
      <c r="BB33" s="20"/>
      <c r="BC33" s="20">
        <f t="shared" si="10"/>
        <v>0</v>
      </c>
      <c r="BE33" s="30">
        <v>46022</v>
      </c>
      <c r="BF33" s="20"/>
      <c r="BG33" s="20"/>
      <c r="BH33" s="20">
        <f t="shared" si="11"/>
        <v>0</v>
      </c>
    </row>
    <row r="34" spans="2:60">
      <c r="B34" s="21" t="s">
        <v>397</v>
      </c>
      <c r="C34" s="31">
        <f>SUM(C3:C33)</f>
        <v>197993</v>
      </c>
      <c r="D34" s="32">
        <f>SUM(D3:D33)</f>
        <v>83514</v>
      </c>
      <c r="E34" s="24">
        <f>SUM(E3:E33)</f>
        <v>114479</v>
      </c>
      <c r="G34" s="21" t="s">
        <v>397</v>
      </c>
      <c r="H34" s="31">
        <f>SUM(H3:H33)</f>
        <v>207830</v>
      </c>
      <c r="I34" s="32">
        <f>SUM(I3:I33)</f>
        <v>81796</v>
      </c>
      <c r="J34" s="24">
        <f>SUM(J3:J33)</f>
        <v>126034</v>
      </c>
      <c r="L34" s="21" t="s">
        <v>397</v>
      </c>
      <c r="M34" s="31">
        <f>SUM(M3:M33)</f>
        <v>234449</v>
      </c>
      <c r="N34" s="32">
        <f>SUM(N3:N33)</f>
        <v>98729</v>
      </c>
      <c r="O34" s="24">
        <f>SUM(O3:O33)</f>
        <v>135720</v>
      </c>
      <c r="Q34" s="21" t="s">
        <v>397</v>
      </c>
      <c r="R34" s="31">
        <f>SUM(R3:R33)</f>
        <v>178096</v>
      </c>
      <c r="S34" s="32">
        <f>SUM(S3:S33)</f>
        <v>62364</v>
      </c>
      <c r="T34" s="24">
        <f>SUM(T3:T33)</f>
        <v>115732</v>
      </c>
      <c r="V34" s="21" t="s">
        <v>397</v>
      </c>
      <c r="W34" s="31">
        <f>SUM(W3:W33)</f>
        <v>149925</v>
      </c>
      <c r="X34" s="32">
        <f>SUM(X3:X33)</f>
        <v>55384</v>
      </c>
      <c r="Y34" s="24">
        <f>SUM(Y3:Y33)</f>
        <v>94541</v>
      </c>
      <c r="AA34" s="21" t="s">
        <v>397</v>
      </c>
      <c r="AB34" s="31">
        <f>SUM(AB3:AB33)</f>
        <v>156863</v>
      </c>
      <c r="AC34" s="32">
        <f>SUM(AC3:AC33)</f>
        <v>66568</v>
      </c>
      <c r="AD34" s="24">
        <f>SUM(AD3:AD33)</f>
        <v>90295</v>
      </c>
      <c r="AF34" s="21" t="s">
        <v>397</v>
      </c>
      <c r="AG34" s="31">
        <f>SUM(AG3:AG33)</f>
        <v>87461</v>
      </c>
      <c r="AH34" s="32">
        <f>SUM(AH3:AH33)</f>
        <v>41907</v>
      </c>
      <c r="AI34" s="24">
        <f>SUM(AI3:AI33)</f>
        <v>45554</v>
      </c>
      <c r="AK34" s="21" t="s">
        <v>397</v>
      </c>
      <c r="AL34" s="31">
        <f>SUM(AL3:AL33)</f>
        <v>0</v>
      </c>
      <c r="AM34" s="32">
        <f>SUM(AM3:AM33)</f>
        <v>0</v>
      </c>
      <c r="AN34" s="24">
        <f>SUM(AN3:AN33)</f>
        <v>0</v>
      </c>
      <c r="AP34" s="21" t="s">
        <v>397</v>
      </c>
      <c r="AQ34" s="31">
        <f>SUM(AQ3:AQ33)</f>
        <v>161316</v>
      </c>
      <c r="AR34" s="32">
        <f>SUM(AR3:AR33)</f>
        <v>0</v>
      </c>
      <c r="AS34" s="24">
        <f>SUM(AS3:AS33)</f>
        <v>161316</v>
      </c>
      <c r="AU34" s="21" t="s">
        <v>397</v>
      </c>
      <c r="AV34" s="31">
        <f>SUM(AV3:AV33)</f>
        <v>266808</v>
      </c>
      <c r="AW34" s="32">
        <f>SUM(AW3:AW33)</f>
        <v>0</v>
      </c>
      <c r="AX34" s="24">
        <f>SUM(AX3:AX33)</f>
        <v>266808</v>
      </c>
      <c r="AZ34" s="21" t="s">
        <v>397</v>
      </c>
      <c r="BA34" s="31">
        <f>SUM(BA3:BA33)</f>
        <v>198543</v>
      </c>
      <c r="BB34" s="32">
        <f>SUM(BB3:BB33)</f>
        <v>0</v>
      </c>
      <c r="BC34" s="24">
        <f>SUM(BC3:BC33)</f>
        <v>198543</v>
      </c>
      <c r="BE34" s="21" t="s">
        <v>397</v>
      </c>
      <c r="BF34" s="31">
        <f>SUM(BF3:BF33)</f>
        <v>0</v>
      </c>
      <c r="BG34" s="32">
        <f>SUM(BG3:BG33)</f>
        <v>0</v>
      </c>
      <c r="BH34" s="24">
        <f>SUM(BH3:BH33)</f>
        <v>0</v>
      </c>
    </row>
    <row r="36" spans="2:60">
      <c r="AQ36" s="25">
        <f>AQ34/30</f>
        <v>5377.2</v>
      </c>
      <c r="AV36" s="25">
        <f>AV34/31</f>
        <v>8606.70967741935</v>
      </c>
      <c r="BA36" s="25">
        <f>BA34/25</f>
        <v>7941.72</v>
      </c>
    </row>
  </sheetData>
  <conditionalFormatting sqref="E3:E33">
    <cfRule type="cellIs" dxfId="0" priority="13" operator="lessThan">
      <formula>1000</formula>
    </cfRule>
  </conditionalFormatting>
  <conditionalFormatting sqref="J3:J33">
    <cfRule type="cellIs" dxfId="0" priority="12" operator="lessThan">
      <formula>1000</formula>
    </cfRule>
  </conditionalFormatting>
  <conditionalFormatting sqref="O3:O33">
    <cfRule type="cellIs" dxfId="0" priority="11" operator="lessThan">
      <formula>1000</formula>
    </cfRule>
  </conditionalFormatting>
  <conditionalFormatting sqref="T3:T33">
    <cfRule type="cellIs" dxfId="0" priority="10" operator="lessThan">
      <formula>1000</formula>
    </cfRule>
  </conditionalFormatting>
  <conditionalFormatting sqref="Y3:Y33">
    <cfRule type="cellIs" dxfId="0" priority="9" operator="lessThan">
      <formula>1000</formula>
    </cfRule>
  </conditionalFormatting>
  <conditionalFormatting sqref="AD3:AD33">
    <cfRule type="cellIs" dxfId="0" priority="8" operator="lessThan">
      <formula>1000</formula>
    </cfRule>
  </conditionalFormatting>
  <conditionalFormatting sqref="AI3:AI33">
    <cfRule type="cellIs" dxfId="0" priority="7" operator="lessThan">
      <formula>1000</formula>
    </cfRule>
  </conditionalFormatting>
  <conditionalFormatting sqref="AN3:AN33">
    <cfRule type="cellIs" dxfId="0" priority="6" operator="lessThan">
      <formula>1000</formula>
    </cfRule>
  </conditionalFormatting>
  <conditionalFormatting sqref="AS3:AS33">
    <cfRule type="cellIs" dxfId="0" priority="5" operator="lessThan">
      <formula>1000</formula>
    </cfRule>
  </conditionalFormatting>
  <conditionalFormatting sqref="AX3:AX33">
    <cfRule type="cellIs" dxfId="0" priority="4" operator="lessThan">
      <formula>1000</formula>
    </cfRule>
  </conditionalFormatting>
  <conditionalFormatting sqref="BC3:BC33">
    <cfRule type="cellIs" dxfId="0" priority="3" operator="lessThan">
      <formula>1000</formula>
    </cfRule>
  </conditionalFormatting>
  <conditionalFormatting sqref="BH3:BH33">
    <cfRule type="cellIs" dxfId="0" priority="2" operator="lessThan">
      <formula>1000</formula>
    </cfRule>
  </conditionalFormatting>
  <conditionalFormatting sqref="$A1:$XFD1048576">
    <cfRule type="cellIs" dxfId="1" priority="1" operator="lessThan">
      <formula>0</formula>
    </cfRule>
    <cfRule type="cellIs" dxfId="1" priority="14" operator="lessThan">
      <formula>0</formula>
    </cfRule>
  </conditionalFormatting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70C0"/>
  </sheetPr>
  <dimension ref="B2:E15"/>
  <sheetViews>
    <sheetView workbookViewId="0">
      <selection activeCell="F18" sqref="F18"/>
    </sheetView>
  </sheetViews>
  <sheetFormatPr defaultColWidth="11" defaultRowHeight="15" outlineLevelCol="4"/>
  <cols>
    <col min="3" max="3" width="18.2857142857143" customWidth="1"/>
    <col min="4" max="4" width="12.5714285714286" customWidth="1"/>
  </cols>
  <sheetData>
    <row r="2" spans="2:5">
      <c r="B2" s="16" t="s">
        <v>398</v>
      </c>
      <c r="C2" s="17" t="s">
        <v>399</v>
      </c>
      <c r="D2" s="18" t="s">
        <v>400</v>
      </c>
      <c r="E2" s="19" t="s">
        <v>397</v>
      </c>
    </row>
    <row r="3" spans="2:5">
      <c r="B3" s="13" t="s">
        <v>382</v>
      </c>
      <c r="C3" s="20">
        <f>RELACIONES!C34</f>
        <v>197993</v>
      </c>
      <c r="D3" s="20">
        <f>RELACIONES!D34</f>
        <v>83514</v>
      </c>
      <c r="E3" s="20">
        <f>C3-D3</f>
        <v>114479</v>
      </c>
    </row>
    <row r="4" spans="2:5">
      <c r="B4" s="13" t="s">
        <v>401</v>
      </c>
      <c r="C4" s="20">
        <f>RELACIONES!H34</f>
        <v>207830</v>
      </c>
      <c r="D4" s="20">
        <f>RELACIONES!I34</f>
        <v>81796</v>
      </c>
      <c r="E4" s="20">
        <f>C4-D4</f>
        <v>126034</v>
      </c>
    </row>
    <row r="5" spans="2:5">
      <c r="B5" s="13" t="s">
        <v>387</v>
      </c>
      <c r="C5" s="20">
        <f>RELACIONES!M34</f>
        <v>234449</v>
      </c>
      <c r="D5" s="20">
        <f>RELACIONES!N34</f>
        <v>98729</v>
      </c>
      <c r="E5" s="20">
        <f t="shared" ref="E5:E15" si="0">C5-D5</f>
        <v>135720</v>
      </c>
    </row>
    <row r="6" spans="2:5">
      <c r="B6" s="13" t="s">
        <v>388</v>
      </c>
      <c r="C6" s="20">
        <f>RELACIONES!R34</f>
        <v>178096</v>
      </c>
      <c r="D6" s="20">
        <f>RELACIONES!S34</f>
        <v>62364</v>
      </c>
      <c r="E6" s="20">
        <f t="shared" si="0"/>
        <v>115732</v>
      </c>
    </row>
    <row r="7" spans="2:5">
      <c r="B7" s="13" t="s">
        <v>389</v>
      </c>
      <c r="C7" s="20">
        <f>RELACIONES!W34</f>
        <v>149925</v>
      </c>
      <c r="D7" s="20">
        <f>RELACIONES!X34</f>
        <v>55384</v>
      </c>
      <c r="E7" s="20">
        <f t="shared" si="0"/>
        <v>94541</v>
      </c>
    </row>
    <row r="8" spans="2:5">
      <c r="B8" s="13" t="s">
        <v>390</v>
      </c>
      <c r="C8" s="20">
        <f>RELACIONES!AB34</f>
        <v>156863</v>
      </c>
      <c r="D8" s="20">
        <f>RELACIONES!AC34</f>
        <v>66568</v>
      </c>
      <c r="E8" s="20">
        <f t="shared" si="0"/>
        <v>90295</v>
      </c>
    </row>
    <row r="9" spans="2:5">
      <c r="B9" s="13" t="s">
        <v>391</v>
      </c>
      <c r="C9" s="20">
        <f>RELACIONES!AG34</f>
        <v>87461</v>
      </c>
      <c r="D9" s="20">
        <f>RELACIONES!AH34</f>
        <v>41907</v>
      </c>
      <c r="E9" s="20">
        <f t="shared" si="0"/>
        <v>45554</v>
      </c>
    </row>
    <row r="10" spans="2:5">
      <c r="B10" s="13" t="s">
        <v>392</v>
      </c>
      <c r="C10" s="20">
        <f>RELACIONES!AL34</f>
        <v>0</v>
      </c>
      <c r="D10" s="20">
        <f>RELACIONES!AM34</f>
        <v>0</v>
      </c>
      <c r="E10" s="20">
        <f t="shared" si="0"/>
        <v>0</v>
      </c>
    </row>
    <row r="11" spans="2:5">
      <c r="B11" s="13" t="s">
        <v>393</v>
      </c>
      <c r="C11" s="20">
        <f>RELACIONES!AQ34</f>
        <v>161316</v>
      </c>
      <c r="D11" s="20">
        <f>RELACIONES!AR34</f>
        <v>0</v>
      </c>
      <c r="E11" s="20">
        <f t="shared" si="0"/>
        <v>161316</v>
      </c>
    </row>
    <row r="12" spans="2:5">
      <c r="B12" s="13" t="s">
        <v>394</v>
      </c>
      <c r="C12" s="20">
        <f>RELACIONES!AV34</f>
        <v>266808</v>
      </c>
      <c r="D12" s="20">
        <f>RELACIONES!AW34</f>
        <v>0</v>
      </c>
      <c r="E12" s="20">
        <f t="shared" si="0"/>
        <v>266808</v>
      </c>
    </row>
    <row r="13" spans="2:5">
      <c r="B13" s="13" t="s">
        <v>395</v>
      </c>
      <c r="C13" s="20">
        <f>RELACIONES!BA34</f>
        <v>198543</v>
      </c>
      <c r="D13" s="20">
        <f>RELACIONES!BB34</f>
        <v>0</v>
      </c>
      <c r="E13" s="20">
        <f t="shared" si="0"/>
        <v>198543</v>
      </c>
    </row>
    <row r="14" spans="2:5">
      <c r="B14" s="13" t="s">
        <v>396</v>
      </c>
      <c r="C14" s="20">
        <f>RELACIONES!BF34</f>
        <v>0</v>
      </c>
      <c r="D14" s="20">
        <f>RELACIONES!BG34</f>
        <v>0</v>
      </c>
      <c r="E14" s="20">
        <f t="shared" si="0"/>
        <v>0</v>
      </c>
    </row>
    <row r="15" spans="2:5">
      <c r="B15" s="21" t="s">
        <v>397</v>
      </c>
      <c r="C15" s="22">
        <f>SUM(C3:C14)</f>
        <v>1839284</v>
      </c>
      <c r="D15" s="23">
        <f>SUM(D3:D14)</f>
        <v>490262</v>
      </c>
      <c r="E15" s="24">
        <f t="shared" si="0"/>
        <v>1349022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7" tint="0.399975585192419"/>
  </sheetPr>
  <dimension ref="A1:E4"/>
  <sheetViews>
    <sheetView workbookViewId="0">
      <selection activeCell="A2" sqref="A2"/>
    </sheetView>
  </sheetViews>
  <sheetFormatPr defaultColWidth="11" defaultRowHeight="15" outlineLevelRow="3" outlineLevelCol="4"/>
  <sheetData>
    <row r="1" spans="1:5">
      <c r="A1">
        <v>2026</v>
      </c>
    </row>
    <row r="2" spans="1:5">
      <c r="A2">
        <v>2026</v>
      </c>
    </row>
    <row r="3" spans="1:5">
      <c r="A3" t="s">
        <v>174</v>
      </c>
      <c r="B3" t="s">
        <v>38</v>
      </c>
      <c r="C3" t="s">
        <v>255</v>
      </c>
      <c r="D3" t="s">
        <v>65</v>
      </c>
      <c r="E3" t="s">
        <v>402</v>
      </c>
    </row>
    <row r="4" spans="1:5">
      <c r="A4" s="15"/>
      <c r="C4" s="15"/>
      <c r="D4" s="15"/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5" tint="-0.249977111117893"/>
  </sheetPr>
  <dimension ref="A2:D14"/>
  <sheetViews>
    <sheetView workbookViewId="0">
      <selection activeCell="D18" sqref="D18"/>
    </sheetView>
  </sheetViews>
  <sheetFormatPr defaultColWidth="11" defaultRowHeight="15" outlineLevelCol="3"/>
  <cols>
    <col min="1" max="1" width="17.1428571428571" customWidth="1"/>
    <col min="2" max="2" width="16.1428571428571" customWidth="1"/>
    <col min="3" max="3" width="21" customWidth="1"/>
    <col min="4" max="4" width="16.5714285714286" customWidth="1"/>
  </cols>
  <sheetData>
    <row r="2" spans="1:4">
      <c r="A2" s="12" t="s">
        <v>403</v>
      </c>
      <c r="B2" s="12" t="s">
        <v>404</v>
      </c>
      <c r="C2" s="12" t="s">
        <v>405</v>
      </c>
      <c r="D2" s="12" t="s">
        <v>406</v>
      </c>
    </row>
    <row r="3" spans="1:4">
      <c r="A3" s="13" t="s">
        <v>407</v>
      </c>
      <c r="B3" s="13"/>
      <c r="C3" s="13"/>
      <c r="D3" s="13"/>
    </row>
    <row r="4" spans="1:4">
      <c r="A4" s="13" t="s">
        <v>408</v>
      </c>
      <c r="B4" s="13"/>
      <c r="C4" s="13"/>
      <c r="D4" s="13"/>
    </row>
    <row r="5" spans="1:4">
      <c r="A5" s="13" t="s">
        <v>409</v>
      </c>
      <c r="B5" s="13"/>
      <c r="C5" s="13"/>
      <c r="D5" s="13"/>
    </row>
    <row r="6" spans="1:4">
      <c r="A6" s="13" t="s">
        <v>410</v>
      </c>
      <c r="B6" s="13"/>
      <c r="C6" s="13"/>
      <c r="D6" s="13"/>
    </row>
    <row r="7" spans="1:4">
      <c r="A7" s="13" t="s">
        <v>411</v>
      </c>
      <c r="B7" s="13"/>
      <c r="C7" s="13"/>
      <c r="D7" s="13"/>
    </row>
    <row r="8" spans="1:4">
      <c r="A8" s="13" t="s">
        <v>412</v>
      </c>
      <c r="B8" s="13"/>
      <c r="C8" s="13"/>
      <c r="D8" s="13"/>
    </row>
    <row r="9" spans="1:4">
      <c r="A9" s="13" t="s">
        <v>413</v>
      </c>
      <c r="B9" s="13"/>
      <c r="C9" s="13"/>
      <c r="D9" s="13"/>
    </row>
    <row r="10" spans="1:4">
      <c r="A10" s="13" t="s">
        <v>414</v>
      </c>
      <c r="B10" s="13"/>
      <c r="C10" s="13"/>
      <c r="D10" s="13"/>
    </row>
    <row r="11" spans="1:4">
      <c r="A11" s="13" t="s">
        <v>415</v>
      </c>
      <c r="B11" s="13"/>
      <c r="C11" s="13"/>
      <c r="D11" s="13"/>
    </row>
    <row r="12" spans="1:4">
      <c r="A12" s="13" t="s">
        <v>416</v>
      </c>
      <c r="B12" s="13"/>
      <c r="C12" s="13"/>
      <c r="D12" s="13"/>
    </row>
    <row r="13" spans="1:4">
      <c r="A13" s="13" t="s">
        <v>417</v>
      </c>
      <c r="B13" s="13"/>
      <c r="C13" s="13"/>
      <c r="D13" s="13"/>
    </row>
    <row r="14" spans="1:4">
      <c r="A14" s="14" t="s">
        <v>418</v>
      </c>
      <c r="C14" s="14"/>
      <c r="D14" s="14"/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2:J14"/>
  <sheetViews>
    <sheetView workbookViewId="0">
      <selection activeCell="H15" sqref="H15"/>
    </sheetView>
  </sheetViews>
  <sheetFormatPr defaultColWidth="11" defaultRowHeight="15"/>
  <cols>
    <col min="2" max="2" width="8.85714285714286" customWidth="1"/>
  </cols>
  <sheetData>
    <row r="2" spans="1:10">
      <c r="A2" t="s">
        <v>46</v>
      </c>
      <c r="B2" s="2" t="s">
        <v>419</v>
      </c>
      <c r="C2" s="2" t="s">
        <v>420</v>
      </c>
      <c r="D2" s="2" t="s">
        <v>421</v>
      </c>
      <c r="E2" s="2" t="s">
        <v>422</v>
      </c>
      <c r="F2" s="2" t="s">
        <v>423</v>
      </c>
      <c r="G2" s="2" t="s">
        <v>424</v>
      </c>
      <c r="H2" s="2" t="s">
        <v>425</v>
      </c>
      <c r="J2" s="3"/>
    </row>
    <row r="3" spans="1:10">
      <c r="A3" t="s">
        <v>426</v>
      </c>
      <c r="B3" s="4" t="s">
        <v>66</v>
      </c>
      <c r="C3" s="5" t="s">
        <v>65</v>
      </c>
      <c r="D3" s="5" t="s">
        <v>65</v>
      </c>
      <c r="E3" s="5" t="s">
        <v>65</v>
      </c>
      <c r="F3" s="5" t="s">
        <v>65</v>
      </c>
      <c r="G3" s="6" t="s">
        <v>154</v>
      </c>
      <c r="H3" s="6" t="s">
        <v>154</v>
      </c>
    </row>
    <row r="4" spans="1:10">
      <c r="A4" t="s">
        <v>427</v>
      </c>
      <c r="B4" s="5" t="s">
        <v>65</v>
      </c>
      <c r="C4" s="7" t="s">
        <v>43</v>
      </c>
      <c r="D4" s="5" t="s">
        <v>39</v>
      </c>
      <c r="E4" s="7" t="s">
        <v>43</v>
      </c>
      <c r="F4" s="7" t="s">
        <v>43</v>
      </c>
      <c r="G4" s="7" t="s">
        <v>43</v>
      </c>
      <c r="H4" s="7" t="s">
        <v>43</v>
      </c>
    </row>
    <row r="6" spans="1:10">
      <c r="A6" t="s">
        <v>45</v>
      </c>
      <c r="B6" s="2" t="s">
        <v>419</v>
      </c>
      <c r="C6" s="2" t="s">
        <v>420</v>
      </c>
      <c r="D6" s="2" t="s">
        <v>421</v>
      </c>
      <c r="E6" s="2" t="s">
        <v>422</v>
      </c>
      <c r="F6" s="2" t="s">
        <v>423</v>
      </c>
      <c r="G6" s="2" t="s">
        <v>424</v>
      </c>
      <c r="H6" s="2" t="s">
        <v>425</v>
      </c>
    </row>
    <row r="7" spans="1:10">
      <c r="A7" t="s">
        <v>426</v>
      </c>
      <c r="B7" s="8" t="s">
        <v>174</v>
      </c>
      <c r="C7" s="9" t="s">
        <v>154</v>
      </c>
      <c r="D7" s="10" t="s">
        <v>174</v>
      </c>
      <c r="E7" s="6" t="s">
        <v>154</v>
      </c>
      <c r="F7" s="10" t="s">
        <v>174</v>
      </c>
      <c r="G7" s="10" t="s">
        <v>174</v>
      </c>
      <c r="H7" s="10" t="s">
        <v>174</v>
      </c>
    </row>
    <row r="8" spans="1:10">
      <c r="A8" t="s">
        <v>427</v>
      </c>
      <c r="B8" s="11" t="s">
        <v>38</v>
      </c>
      <c r="C8" s="10" t="s">
        <v>174</v>
      </c>
      <c r="D8" s="11" t="s">
        <v>38</v>
      </c>
      <c r="E8" s="11" t="s">
        <v>38</v>
      </c>
      <c r="F8" s="11" t="s">
        <v>38</v>
      </c>
      <c r="G8" s="11" t="s">
        <v>38</v>
      </c>
      <c r="H8" s="11" t="s">
        <v>38</v>
      </c>
    </row>
    <row r="10" spans="1:10">
      <c r="A10" t="s">
        <v>428</v>
      </c>
      <c r="B10" s="2" t="s">
        <v>419</v>
      </c>
      <c r="C10" s="2" t="s">
        <v>420</v>
      </c>
      <c r="D10" s="2" t="s">
        <v>421</v>
      </c>
      <c r="E10" s="2" t="s">
        <v>422</v>
      </c>
      <c r="F10" s="2" t="s">
        <v>423</v>
      </c>
      <c r="G10" s="2" t="s">
        <v>424</v>
      </c>
      <c r="H10" s="2" t="s">
        <v>425</v>
      </c>
    </row>
    <row r="11" spans="1:10">
      <c r="A11" t="s">
        <v>45</v>
      </c>
      <c r="B11" t="s">
        <v>48</v>
      </c>
      <c r="C11" t="s">
        <v>27</v>
      </c>
      <c r="D11" t="s">
        <v>27</v>
      </c>
      <c r="E11" t="s">
        <v>48</v>
      </c>
      <c r="F11" t="s">
        <v>48</v>
      </c>
      <c r="G11" t="s">
        <v>48</v>
      </c>
      <c r="H11" t="s">
        <v>48</v>
      </c>
    </row>
    <row r="12" spans="1:10">
      <c r="B12">
        <v>400</v>
      </c>
      <c r="C12">
        <v>400</v>
      </c>
      <c r="D12">
        <v>400</v>
      </c>
      <c r="E12">
        <v>400</v>
      </c>
      <c r="F12">
        <v>400</v>
      </c>
      <c r="G12">
        <v>400</v>
      </c>
      <c r="H12">
        <v>400</v>
      </c>
    </row>
    <row r="13" spans="1:10">
      <c r="A13" t="s">
        <v>46</v>
      </c>
      <c r="B13" t="s">
        <v>65</v>
      </c>
      <c r="C13" t="s">
        <v>65</v>
      </c>
      <c r="D13" t="s">
        <v>65</v>
      </c>
      <c r="E13" t="s">
        <v>43</v>
      </c>
      <c r="F13" t="s">
        <v>65</v>
      </c>
      <c r="G13" t="s">
        <v>43</v>
      </c>
      <c r="H13" t="s">
        <v>43</v>
      </c>
    </row>
    <row r="14" spans="1:10">
      <c r="B14">
        <v>320</v>
      </c>
      <c r="C14">
        <v>320</v>
      </c>
      <c r="D14">
        <v>320</v>
      </c>
      <c r="E14">
        <v>320</v>
      </c>
      <c r="F14">
        <v>320</v>
      </c>
      <c r="G14">
        <v>320</v>
      </c>
      <c r="H14">
        <v>320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E7:E29"/>
  <sheetViews>
    <sheetView workbookViewId="0">
      <selection activeCell="E29" sqref="E29"/>
    </sheetView>
  </sheetViews>
  <sheetFormatPr defaultColWidth="9.14285714285714" defaultRowHeight="15" outlineLevelCol="4"/>
  <sheetData>
    <row r="7" spans="5:5">
      <c r="E7" s="1" t="s">
        <v>429</v>
      </c>
    </row>
    <row r="8" spans="5:5">
      <c r="E8" t="s">
        <v>430</v>
      </c>
    </row>
    <row r="9" spans="5:5">
      <c r="E9" t="s">
        <v>431</v>
      </c>
    </row>
    <row r="10" spans="5:5">
      <c r="E10" t="s">
        <v>432</v>
      </c>
    </row>
    <row r="11" spans="5:5">
      <c r="E11" t="s">
        <v>433</v>
      </c>
    </row>
    <row r="12" spans="5:5">
      <c r="E12" t="s">
        <v>434</v>
      </c>
    </row>
    <row r="13" spans="5:5">
      <c r="E13" t="s">
        <v>435</v>
      </c>
    </row>
    <row r="14" spans="5:5">
      <c r="E14" t="s">
        <v>436</v>
      </c>
    </row>
    <row r="15" spans="5:5">
      <c r="E15" t="s">
        <v>437</v>
      </c>
    </row>
    <row r="16" spans="5:5">
      <c r="E16" t="s">
        <v>438</v>
      </c>
    </row>
    <row r="17" spans="5:5">
      <c r="E17" t="s">
        <v>439</v>
      </c>
    </row>
    <row r="18" spans="5:5">
      <c r="E18" t="s">
        <v>440</v>
      </c>
    </row>
    <row r="19" spans="5:5">
      <c r="E19" t="s">
        <v>441</v>
      </c>
    </row>
    <row r="20" spans="5:5">
      <c r="E20" t="s">
        <v>442</v>
      </c>
    </row>
    <row r="21" spans="5:5">
      <c r="E21" t="s">
        <v>443</v>
      </c>
    </row>
    <row r="22" spans="5:5">
      <c r="E22" t="s">
        <v>444</v>
      </c>
    </row>
    <row r="23" spans="5:5">
      <c r="E23" t="s">
        <v>445</v>
      </c>
    </row>
    <row r="24" spans="5:5">
      <c r="E24" t="s">
        <v>446</v>
      </c>
    </row>
    <row r="25" spans="5:5">
      <c r="E25" t="s">
        <v>447</v>
      </c>
    </row>
    <row r="26" spans="5:5">
      <c r="E26" t="s">
        <v>448</v>
      </c>
    </row>
    <row r="27" spans="5:5">
      <c r="E27" t="s">
        <v>449</v>
      </c>
    </row>
    <row r="28" spans="5:5">
      <c r="E28" t="s">
        <v>450</v>
      </c>
    </row>
    <row r="29" spans="5:5">
      <c r="E29" t="s">
        <v>451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Gráfico1</vt:lpstr>
      <vt:lpstr>CORTES</vt:lpstr>
      <vt:lpstr>RELACIONES</vt:lpstr>
      <vt:lpstr>AÑO</vt:lpstr>
      <vt:lpstr>Vacaciones</vt:lpstr>
      <vt:lpstr>Mostrador</vt:lpstr>
      <vt:lpstr>Horarios</vt:lpstr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Badrink</dc:creator>
  <cp:lastModifiedBy>Badrink</cp:lastModifiedBy>
  <dcterms:created xsi:type="dcterms:W3CDTF">2025-01-01T19:38:00Z</dcterms:created>
  <dcterms:modified xsi:type="dcterms:W3CDTF">2026-05-25T03:51:08Z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3CE61732920548E8B6272313747FB85D_13</vt:lpwstr>
  </property>
  <property fmtid="{D5CDD505-2E9C-101B-9397-08002B2CF9AE}" pid="3" name="KSOProductBuildVer">
    <vt:lpwstr>1033-12.1.0.26372</vt:lpwstr>
  </property>
  <property fmtid="{D5CDD505-2E9C-101B-9397-08002B2CF9AE}" pid="4" name="KSOReadingLayout">
    <vt:bool>false</vt:bool>
  </property>
  <property fmtid="{D5CDD505-2E9C-101B-9397-08002B2CF9AE}" pid="5" name="CalculationRule">
    <vt:i4>0</vt:i4>
  </property>
</Properties>
</file>