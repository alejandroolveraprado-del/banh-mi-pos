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0"/>
  <workbookPr/>
  <mc:AlternateContent xmlns:mc="http://schemas.openxmlformats.org/markup-compatibility/2006">
    <mc:Choice Requires="x15">
      <x15ac:absPath xmlns:x15ac="http://schemas.microsoft.com/office/spreadsheetml/2010/11/ac" url="C:\Users\Alejandro\Downloads\"/>
    </mc:Choice>
  </mc:AlternateContent>
  <xr:revisionPtr revIDLastSave="0" documentId="13_ncr:1_{6CA28095-12AF-4717-8C5A-9DC39D4C9F9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men General" sheetId="1" r:id="rId1"/>
    <sheet name="Detalle de Ventas" sheetId="2" r:id="rId2"/>
  </sheets>
  <calcPr calcId="181029"/>
</workbook>
</file>

<file path=xl/calcChain.xml><?xml version="1.0" encoding="utf-8"?>
<calcChain xmlns="http://schemas.openxmlformats.org/spreadsheetml/2006/main">
  <c r="F146" i="2" l="1"/>
  <c r="E146" i="2"/>
  <c r="D146" i="2"/>
  <c r="F4" i="1" s="1"/>
  <c r="C146" i="2"/>
  <c r="C4" i="1" s="1"/>
  <c r="F13" i="1"/>
  <c r="E13" i="1"/>
  <c r="D13" i="1"/>
  <c r="C13" i="1"/>
  <c r="F12" i="1"/>
  <c r="E12" i="1"/>
  <c r="D12" i="1"/>
  <c r="C12" i="1"/>
  <c r="F11" i="1"/>
  <c r="E11" i="1"/>
  <c r="D11" i="1"/>
  <c r="C11" i="1"/>
  <c r="F10" i="1"/>
  <c r="E10" i="1"/>
  <c r="D10" i="1"/>
  <c r="C10" i="1"/>
  <c r="F9" i="1"/>
  <c r="F14" i="1" s="1"/>
  <c r="E9" i="1"/>
  <c r="E14" i="1" s="1"/>
  <c r="D9" i="1"/>
  <c r="D14" i="1" s="1"/>
  <c r="C9" i="1"/>
  <c r="C14" i="1" s="1"/>
  <c r="I4" i="1"/>
</calcChain>
</file>

<file path=xl/sharedStrings.xml><?xml version="1.0" encoding="utf-8"?>
<sst xmlns="http://schemas.openxmlformats.org/spreadsheetml/2006/main" count="311" uniqueCount="164">
  <si>
    <t>BANHH MI - RESUMEN EJECUTIVO DE VENTAS 2026</t>
  </si>
  <si>
    <t>Ventas Totales Anuales</t>
  </si>
  <si>
    <t>Propinas Totales Anuales</t>
  </si>
  <si>
    <t>Gastos Totales Anuales</t>
  </si>
  <si>
    <t>Resumen Mensual</t>
  </si>
  <si>
    <t>Mes</t>
  </si>
  <si>
    <t>Ventas</t>
  </si>
  <si>
    <t>Propinas</t>
  </si>
  <si>
    <t>Gastos</t>
  </si>
  <si>
    <t>Total Caja</t>
  </si>
  <si>
    <t>ENERO</t>
  </si>
  <si>
    <t>FEBRERO</t>
  </si>
  <si>
    <t>MARZO</t>
  </si>
  <si>
    <t>ABRIL</t>
  </si>
  <si>
    <t>MAYO</t>
  </si>
  <si>
    <t>TOTAL GENERAL</t>
  </si>
  <si>
    <t>Día / Fecha</t>
  </si>
  <si>
    <t>Ventas Totales</t>
  </si>
  <si>
    <t>Propinas del Día</t>
  </si>
  <si>
    <t>Gastos del Día</t>
  </si>
  <si>
    <t>Jueves 1 de enero de 2026</t>
  </si>
  <si>
    <t>Viernes 30 de Enero de 2026</t>
  </si>
  <si>
    <t>Jueves 29 de Enero de 2026</t>
  </si>
  <si>
    <t>Martes 27 de Enero de 2026</t>
  </si>
  <si>
    <t>Lunes 26 de Enero de 2026</t>
  </si>
  <si>
    <t>Domingo 25 de Enero de 2026</t>
  </si>
  <si>
    <t>Sábado 24 de Enero de 2026</t>
  </si>
  <si>
    <t>Jueves 22 de Enero de 2026</t>
  </si>
  <si>
    <t>Martes 20 de Enero de 2026</t>
  </si>
  <si>
    <t>Lunes 19 enero de 2026</t>
  </si>
  <si>
    <t>Domingo 18 enero de 2026</t>
  </si>
  <si>
    <t>Viernes 16 de Enero de 2026</t>
  </si>
  <si>
    <t>Viernes 23 de Enero de 2026</t>
  </si>
  <si>
    <t>Jueves 15 de Enero de 2026</t>
  </si>
  <si>
    <t>Sábado 3 de enero de 2026</t>
  </si>
  <si>
    <t>Domingo 4 de enero de 2026</t>
  </si>
  <si>
    <t>Viernes 2 de enero de 2026</t>
  </si>
  <si>
    <t>Viernes 09 de Enero de 2026</t>
  </si>
  <si>
    <t>Domingo 11 de Enero de 2026</t>
  </si>
  <si>
    <t>Lunes 12 de Enero de 2026</t>
  </si>
  <si>
    <t>Martes 13 de Enero de 2026</t>
  </si>
  <si>
    <t>Miércoles 14 de Enero de 2026</t>
  </si>
  <si>
    <t>Lunes 16 de febrero de 2026</t>
  </si>
  <si>
    <t>Martes 17 de febrero de 2026</t>
  </si>
  <si>
    <t>Jueves 19 de febrero de 2026</t>
  </si>
  <si>
    <t>Viernes 20 de febrero de 2026</t>
  </si>
  <si>
    <t>Martes 24 de febrero de 2026</t>
  </si>
  <si>
    <t>Lunes 23 de febrero de 2026</t>
  </si>
  <si>
    <t>Jueves 26 de febrero de 2026</t>
  </si>
  <si>
    <t>Viernes 27 de febrero de 2026</t>
  </si>
  <si>
    <t>Sábado 28 de febrero de 2026</t>
  </si>
  <si>
    <t>Domingo 22 de febrero de 2026</t>
  </si>
  <si>
    <t>Domingo 15 de febrero de 2026</t>
  </si>
  <si>
    <t>Viernes 06 de febrero de 2026</t>
  </si>
  <si>
    <t>Viernes 13 de febrero de 2026</t>
  </si>
  <si>
    <t>Domingo 1 de febrero de 2026</t>
  </si>
  <si>
    <t>Lunes 2 de febrero de 2026</t>
  </si>
  <si>
    <t>Martes 03 de febrero de 2026</t>
  </si>
  <si>
    <t>Jueves 05 de febrero de 2026</t>
  </si>
  <si>
    <t>Domingo 8 de febrero de 2026</t>
  </si>
  <si>
    <t>Lunes 9 de febrero de 2026</t>
  </si>
  <si>
    <t>Martes 10 de febrero de 2026</t>
  </si>
  <si>
    <t>Jueves 12 de febrero de 2026</t>
  </si>
  <si>
    <t>Jueves 19 de Marzo</t>
  </si>
  <si>
    <t>Lunes 23 de Marzo</t>
  </si>
  <si>
    <t>Viernes 20 de Marzo</t>
  </si>
  <si>
    <t>Domingo 22 de Marzo</t>
  </si>
  <si>
    <t>Martes 24 de Marzo</t>
  </si>
  <si>
    <t>Martes 31 de Marzo</t>
  </si>
  <si>
    <t>Jueves 26 de Marzo</t>
  </si>
  <si>
    <t>Viernes 27 de Marzo</t>
  </si>
  <si>
    <t>Sábado 28 de Marzo</t>
  </si>
  <si>
    <t>Domingo 29 de Marzo</t>
  </si>
  <si>
    <t>Lunes 30 de Marzo</t>
  </si>
  <si>
    <t>Miércoles 18 de marzo</t>
  </si>
  <si>
    <t>Martes 17 de marzo</t>
  </si>
  <si>
    <t>Viernes 13 de Marzo de 2026</t>
  </si>
  <si>
    <t>Domingo 15 de marzo</t>
  </si>
  <si>
    <t>Lunes 16 de marzo</t>
  </si>
  <si>
    <t>Lunes 2 de marzo de 2026</t>
  </si>
  <si>
    <t>Martes 3 de marzo de 2026</t>
  </si>
  <si>
    <t>Jueves 05 de Marzo de 2026</t>
  </si>
  <si>
    <t>Viernes 06 de Marzo de 2026</t>
  </si>
  <si>
    <t>Domingo 1 de marzo de 2026</t>
  </si>
  <si>
    <t>Lunes 09 de Marzo de 2026</t>
  </si>
  <si>
    <t>Martes 10 de Marzo de 2026</t>
  </si>
  <si>
    <t>Jueves 12 de Marzo de 2026</t>
  </si>
  <si>
    <t>Sábado 14 de marzo</t>
  </si>
  <si>
    <t>Domingo 08 de Marzo de 2026</t>
  </si>
  <si>
    <t>Sábado 18 de Abril</t>
  </si>
  <si>
    <t>Domingo 19de Abril</t>
  </si>
  <si>
    <t>Martes 21 de Abril</t>
  </si>
  <si>
    <t>Jueves 23 de Abril</t>
  </si>
  <si>
    <t>Viernes 24 de Abril</t>
  </si>
  <si>
    <t>Lunes 27 de Abril</t>
  </si>
  <si>
    <t>Martes 28 de Abril</t>
  </si>
  <si>
    <t>Jueves 16 de Abril</t>
  </si>
  <si>
    <t>Jueves 30 de Abril</t>
  </si>
  <si>
    <t>Lunes 20 de Abril</t>
  </si>
  <si>
    <t>Martes 14 de Abril</t>
  </si>
  <si>
    <t>Miércoles 1 de abril de 2026</t>
  </si>
  <si>
    <t>Viernes 03 de Abril</t>
  </si>
  <si>
    <t>Sábado 04 de Abril</t>
  </si>
  <si>
    <t>Domingo 05 de Abril</t>
  </si>
  <si>
    <t>Lunes 06 de Abril</t>
  </si>
  <si>
    <t>Jueves 02 de Abril</t>
  </si>
  <si>
    <t>Martes 07 de Abril</t>
  </si>
  <si>
    <t>Jueves 09 de Abril</t>
  </si>
  <si>
    <t>Viernes 10 de Abril</t>
  </si>
  <si>
    <t>Domingo 12 de Abril</t>
  </si>
  <si>
    <t>Lunes 13 de Abril</t>
  </si>
  <si>
    <t>Jueves 14 de Mayo</t>
  </si>
  <si>
    <t>Viernes 15 de Mayo</t>
  </si>
  <si>
    <t>Domingo 17 de Mayo</t>
  </si>
  <si>
    <t>Martes 19de Mayo</t>
  </si>
  <si>
    <t>Jueves 21 de Mayo</t>
  </si>
  <si>
    <t>Viernes 22 de Mayo</t>
  </si>
  <si>
    <t>Martes 12 de Mayo</t>
  </si>
  <si>
    <t>Lunes 18 de Mayo</t>
  </si>
  <si>
    <t>Martes 05 de Mayo</t>
  </si>
  <si>
    <t>Domingo 10 de Mayo</t>
  </si>
  <si>
    <t>Viernes 08 de Mayo</t>
  </si>
  <si>
    <t>Jueves 07 de Mayo</t>
  </si>
  <si>
    <t>Lunes 04 de Mayo</t>
  </si>
  <si>
    <t>Domingo 03 de Mayo</t>
  </si>
  <si>
    <t>Viernes 1 de mayo de 2025</t>
  </si>
  <si>
    <t>Lunes 11 de Mayo</t>
  </si>
  <si>
    <t>Domingo 24 de Mayo</t>
  </si>
  <si>
    <t>Lunes 5 de enero de 2026</t>
  </si>
  <si>
    <t>martes 6 de enero de 2026</t>
  </si>
  <si>
    <t>7 de enero de 2026</t>
  </si>
  <si>
    <t>08 de Enero de 2026</t>
  </si>
  <si>
    <t>10 de Enero de 2026</t>
  </si>
  <si>
    <t>sabado 17 de Enero de 2026</t>
  </si>
  <si>
    <t>21 de Enero de 2026</t>
  </si>
  <si>
    <t>28 de Enero de 2026</t>
  </si>
  <si>
    <t>31 de Enero de 2026</t>
  </si>
  <si>
    <t>04 de febrero de 2026</t>
  </si>
  <si>
    <t>07 de febrero de 2026</t>
  </si>
  <si>
    <t>11 de febrero de 2026</t>
  </si>
  <si>
    <t>14 de febrero de 2026</t>
  </si>
  <si>
    <t>18 de febrero de 2026</t>
  </si>
  <si>
    <t>21 de febrero de 2026</t>
  </si>
  <si>
    <t>miercoles 25 de febrero de 2026</t>
  </si>
  <si>
    <t>4 de marzo de 2026</t>
  </si>
  <si>
    <t>07 de Marzo de 2026</t>
  </si>
  <si>
    <t>11 de Marzo de 2026</t>
  </si>
  <si>
    <t>21 de Marzo</t>
  </si>
  <si>
    <t>25 de Marzo</t>
  </si>
  <si>
    <t>08 de Abril</t>
  </si>
  <si>
    <t>11 de Abril</t>
  </si>
  <si>
    <t>15 de Abril</t>
  </si>
  <si>
    <t>17 de Abril</t>
  </si>
  <si>
    <t>22 de Abril</t>
  </si>
  <si>
    <t>25 de Abril</t>
  </si>
  <si>
    <t>26 de Abril</t>
  </si>
  <si>
    <t>29 de Abril</t>
  </si>
  <si>
    <t>2 de mayo de 2025</t>
  </si>
  <si>
    <t>06 de Mayo</t>
  </si>
  <si>
    <t>09 de Mayo</t>
  </si>
  <si>
    <t>13 de Mayo</t>
  </si>
  <si>
    <t>16 de Mayo</t>
  </si>
  <si>
    <t>20de Mayo</t>
  </si>
  <si>
    <t>23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</si>
</sst>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b/>
      <sz val="9"/>
      <color rgb="FF595959"/>
      <name val="Segoe UI"/>
    </font>
    <font>
      <b/>
      <sz val="14"/>
      <color rgb="FF1F497D"/>
      <name val="Segoe UI"/>
    </font>
    <font>
      <b/>
      <sz val="13"/>
      <color rgb="FF1F497D"/>
      <name val="Segoe UI"/>
    </font>
    <font>
      <b/>
      <sz val="11"/>
      <color rgb="FFFFFFFF"/>
      <name val="Segoe UI"/>
    </font>
    <font>
      <sz val="11"/>
      <name val="Segoe UI"/>
    </font>
    <font>
      <b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5F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 applyAlignment="1">
      <alignment horizontal="right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6" fillId="0" borderId="1" xfId="0" applyFont="1" applyBorder="1"/>
    <xf numFmtId="164" fontId="6" fillId="0" borderId="1" xfId="0" applyNumberFormat="1" applyFont="1" applyBorder="1"/>
    <xf numFmtId="0" fontId="6" fillId="3" borderId="1" xfId="0" applyFont="1" applyFill="1" applyBorder="1"/>
    <xf numFmtId="164" fontId="6" fillId="3" borderId="1" xfId="0" applyNumberFormat="1" applyFont="1" applyFill="1" applyBorder="1"/>
    <xf numFmtId="0" fontId="7" fillId="0" borderId="0" xfId="0" applyFont="1"/>
    <xf numFmtId="164" fontId="7" fillId="0" borderId="2" xfId="0" applyNumberFormat="1" applyFont="1" applyBorder="1"/>
    <xf numFmtId="0" fontId="5" fillId="2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4"/>
  <sheetViews>
    <sheetView workbookViewId="0"/>
  </sheetViews>
  <sheetFormatPr defaultRowHeight="15" x14ac:dyDescent="0.25"/>
  <cols>
    <col min="1" max="1" width="3" customWidth="1"/>
    <col min="2" max="2" width="47" customWidth="1"/>
    <col min="3" max="6" width="65" customWidth="1"/>
    <col min="7" max="7" width="12" customWidth="1"/>
    <col min="8" max="8" width="26" customWidth="1"/>
    <col min="9" max="9" width="33" customWidth="1"/>
  </cols>
  <sheetData>
    <row r="2" spans="2:9" ht="25.5" x14ac:dyDescent="0.5">
      <c r="B2" s="1" t="s">
        <v>0</v>
      </c>
    </row>
    <row r="4" spans="2:9" ht="20.25" x14ac:dyDescent="0.35">
      <c r="B4" s="2" t="s">
        <v>1</v>
      </c>
      <c r="C4" s="3">
        <f>SUM('Detalle de Ventas'!C:C)</f>
        <v>1736544.6</v>
      </c>
      <c r="E4" s="2" t="s">
        <v>2</v>
      </c>
      <c r="F4" s="3">
        <f>SUM('Detalle de Ventas'!D:D)</f>
        <v>157643.35999999999</v>
      </c>
      <c r="H4" s="2" t="s">
        <v>3</v>
      </c>
      <c r="I4" s="3">
        <f>SUM('Detalle de Ventas'!E:E)</f>
        <v>603975.76</v>
      </c>
    </row>
    <row r="7" spans="2:9" ht="18.75" x14ac:dyDescent="0.35">
      <c r="B7" s="4" t="s">
        <v>4</v>
      </c>
    </row>
    <row r="8" spans="2:9" ht="16.5" x14ac:dyDescent="0.3">
      <c r="B8" s="5" t="s">
        <v>5</v>
      </c>
      <c r="C8" s="6" t="s">
        <v>6</v>
      </c>
      <c r="D8" s="6" t="s">
        <v>7</v>
      </c>
      <c r="E8" s="6" t="s">
        <v>8</v>
      </c>
      <c r="F8" s="6" t="s">
        <v>9</v>
      </c>
    </row>
    <row r="9" spans="2:9" ht="16.5" x14ac:dyDescent="0.3">
      <c r="B9" s="7" t="s">
        <v>10</v>
      </c>
      <c r="C9" s="8">
        <f>SUMIF('Detalle de Ventas'!B:B, B9, 'Detalle de Ventas'!C:C)</f>
        <v>230752.3</v>
      </c>
      <c r="D9" s="8">
        <f>SUMIF('Detalle de Ventas'!B:B, B9, 'Detalle de Ventas'!D:D)</f>
        <v>22078.499999999993</v>
      </c>
      <c r="E9" s="8">
        <f>SUMIF('Detalle de Ventas'!B:B, B9, 'Detalle de Ventas'!E:E)</f>
        <v>72922.789999999994</v>
      </c>
      <c r="F9" s="8">
        <f>SUMIF('Detalle de Ventas'!B:B, B9, 'Detalle de Ventas'!F:F)</f>
        <v>100064.79000000001</v>
      </c>
    </row>
    <row r="10" spans="2:9" ht="16.5" x14ac:dyDescent="0.3">
      <c r="B10" s="9" t="s">
        <v>11</v>
      </c>
      <c r="C10" s="10">
        <f>SUMIF('Detalle de Ventas'!B:B, B10, 'Detalle de Ventas'!C:C)</f>
        <v>189949</v>
      </c>
      <c r="D10" s="10">
        <f>SUMIF('Detalle de Ventas'!B:B, B10, 'Detalle de Ventas'!D:D)</f>
        <v>17839.2</v>
      </c>
      <c r="E10" s="10">
        <f>SUMIF('Detalle de Ventas'!B:B, B10, 'Detalle de Ventas'!E:E)</f>
        <v>72446.63</v>
      </c>
      <c r="F10" s="10">
        <f>SUMIF('Detalle de Ventas'!B:B, B10, 'Detalle de Ventas'!F:F)</f>
        <v>83859.37</v>
      </c>
    </row>
    <row r="11" spans="2:9" ht="16.5" x14ac:dyDescent="0.3">
      <c r="B11" s="7" t="s">
        <v>12</v>
      </c>
      <c r="C11" s="8">
        <f>SUMIF('Detalle de Ventas'!B:B, B11, 'Detalle de Ventas'!C:C)</f>
        <v>172391</v>
      </c>
      <c r="D11" s="8">
        <f>SUMIF('Detalle de Ventas'!B:B, B11, 'Detalle de Ventas'!D:D)</f>
        <v>15221.35</v>
      </c>
      <c r="E11" s="8">
        <f>SUMIF('Detalle de Ventas'!B:B, B11, 'Detalle de Ventas'!E:E)</f>
        <v>68014.670000000013</v>
      </c>
      <c r="F11" s="8">
        <f>SUMIF('Detalle de Ventas'!B:B, B11, 'Detalle de Ventas'!F:F)</f>
        <v>78757.83</v>
      </c>
    </row>
    <row r="12" spans="2:9" ht="16.5" x14ac:dyDescent="0.3">
      <c r="B12" s="9" t="s">
        <v>13</v>
      </c>
      <c r="C12" s="10">
        <f>SUMIF('Detalle de Ventas'!B:B, B12, 'Detalle de Ventas'!C:C)</f>
        <v>153511</v>
      </c>
      <c r="D12" s="10">
        <f>SUMIF('Detalle de Ventas'!B:B, B12, 'Detalle de Ventas'!D:D)</f>
        <v>13001.7</v>
      </c>
      <c r="E12" s="10">
        <f>SUMIF('Detalle de Ventas'!B:B, B12, 'Detalle de Ventas'!E:E)</f>
        <v>56234.09</v>
      </c>
      <c r="F12" s="10">
        <f>SUMIF('Detalle de Ventas'!B:B, B12, 'Detalle de Ventas'!F:F)</f>
        <v>75416.91</v>
      </c>
    </row>
    <row r="13" spans="2:9" ht="16.5" x14ac:dyDescent="0.3">
      <c r="B13" s="7" t="s">
        <v>14</v>
      </c>
      <c r="C13" s="8">
        <f>SUMIF('Detalle de Ventas'!B:B, B13, 'Detalle de Ventas'!C:C)</f>
        <v>121669</v>
      </c>
      <c r="D13" s="8">
        <f>SUMIF('Detalle de Ventas'!B:B, B13, 'Detalle de Ventas'!D:D)</f>
        <v>10680.929999999997</v>
      </c>
      <c r="E13" s="8">
        <f>SUMIF('Detalle de Ventas'!B:B, B13, 'Detalle de Ventas'!E:E)</f>
        <v>32369.7</v>
      </c>
      <c r="F13" s="8">
        <f>SUMIF('Detalle de Ventas'!B:B, B13, 'Detalle de Ventas'!F:F)</f>
        <v>51640.3</v>
      </c>
    </row>
    <row r="14" spans="2:9" ht="16.5" x14ac:dyDescent="0.3">
      <c r="B14" s="11" t="s">
        <v>15</v>
      </c>
      <c r="C14" s="12">
        <f>SUM(C9:C13)</f>
        <v>868272.3</v>
      </c>
      <c r="D14" s="12">
        <f>SUM(D9:D13)</f>
        <v>78821.679999999993</v>
      </c>
      <c r="E14" s="12">
        <f>SUM(E9:E13)</f>
        <v>301987.88</v>
      </c>
      <c r="F14" s="12">
        <f>SUM(F9:F13)</f>
        <v>389739.2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6"/>
  <sheetViews>
    <sheetView tabSelected="1" topLeftCell="A45" workbookViewId="0">
      <selection activeCell="A145" sqref="A145"/>
    </sheetView>
  </sheetViews>
  <sheetFormatPr defaultRowHeight="15" x14ac:dyDescent="0.25"/>
  <cols>
    <col min="1" max="1" width="32" customWidth="1"/>
    <col min="2" max="2" width="12" customWidth="1"/>
    <col min="3" max="3" width="18" customWidth="1"/>
    <col min="4" max="4" width="20" customWidth="1"/>
    <col min="5" max="5" width="18" customWidth="1"/>
    <col min="6" max="6" width="21" customWidth="1"/>
  </cols>
  <sheetData>
    <row r="1" spans="1:6" ht="16.5" x14ac:dyDescent="0.25">
      <c r="A1" s="13" t="s">
        <v>16</v>
      </c>
      <c r="B1" s="13" t="s">
        <v>5</v>
      </c>
      <c r="C1" s="13" t="s">
        <v>17</v>
      </c>
      <c r="D1" s="13" t="s">
        <v>18</v>
      </c>
      <c r="E1" s="13" t="s">
        <v>19</v>
      </c>
      <c r="F1" s="13" t="s">
        <v>9</v>
      </c>
    </row>
    <row r="2" spans="1:6" ht="16.5" x14ac:dyDescent="0.3">
      <c r="A2" s="16" t="s">
        <v>20</v>
      </c>
      <c r="B2" s="14" t="s">
        <v>10</v>
      </c>
      <c r="C2" s="8">
        <v>21240</v>
      </c>
      <c r="D2" s="8">
        <v>1873.35</v>
      </c>
      <c r="E2" s="8">
        <v>11298</v>
      </c>
      <c r="F2" s="8">
        <v>-209.00000000000199</v>
      </c>
    </row>
    <row r="3" spans="1:6" ht="16.5" x14ac:dyDescent="0.3">
      <c r="A3" s="17" t="s">
        <v>136</v>
      </c>
      <c r="B3" s="15" t="s">
        <v>10</v>
      </c>
      <c r="C3" s="10">
        <v>8939</v>
      </c>
      <c r="D3" s="10">
        <v>812.45</v>
      </c>
      <c r="E3" s="10">
        <v>314</v>
      </c>
      <c r="F3" s="10">
        <v>3882</v>
      </c>
    </row>
    <row r="4" spans="1:6" ht="16.5" x14ac:dyDescent="0.3">
      <c r="A4" s="16" t="s">
        <v>21</v>
      </c>
      <c r="B4" s="14" t="s">
        <v>10</v>
      </c>
      <c r="C4" s="8">
        <v>5312</v>
      </c>
      <c r="D4" s="8">
        <v>549.79999999999995</v>
      </c>
      <c r="E4" s="8">
        <v>2134</v>
      </c>
      <c r="F4" s="8">
        <v>3274</v>
      </c>
    </row>
    <row r="5" spans="1:6" ht="16.5" x14ac:dyDescent="0.3">
      <c r="A5" s="17" t="s">
        <v>22</v>
      </c>
      <c r="B5" s="15" t="s">
        <v>10</v>
      </c>
      <c r="C5" s="10">
        <v>5291</v>
      </c>
      <c r="D5" s="10">
        <v>423</v>
      </c>
      <c r="E5" s="10">
        <v>3036</v>
      </c>
      <c r="F5" s="10">
        <v>3433</v>
      </c>
    </row>
    <row r="6" spans="1:6" ht="16.5" x14ac:dyDescent="0.3">
      <c r="A6" s="16" t="s">
        <v>135</v>
      </c>
      <c r="B6" s="14" t="s">
        <v>10</v>
      </c>
      <c r="C6" s="8">
        <v>3482</v>
      </c>
      <c r="D6" s="8">
        <v>337.05</v>
      </c>
      <c r="E6" s="8">
        <v>218</v>
      </c>
      <c r="F6" s="8">
        <v>1981</v>
      </c>
    </row>
    <row r="7" spans="1:6" ht="16.5" x14ac:dyDescent="0.3">
      <c r="A7" s="17" t="s">
        <v>23</v>
      </c>
      <c r="B7" s="15" t="s">
        <v>10</v>
      </c>
      <c r="C7" s="10">
        <v>6171</v>
      </c>
      <c r="D7" s="10">
        <v>482.6</v>
      </c>
      <c r="E7" s="10">
        <v>679</v>
      </c>
      <c r="F7" s="10">
        <v>6118</v>
      </c>
    </row>
    <row r="8" spans="1:6" ht="16.5" x14ac:dyDescent="0.3">
      <c r="A8" s="16" t="s">
        <v>24</v>
      </c>
      <c r="B8" s="14" t="s">
        <v>10</v>
      </c>
      <c r="C8" s="8">
        <v>6892</v>
      </c>
      <c r="D8" s="8">
        <v>674.45</v>
      </c>
      <c r="E8" s="8">
        <v>4620</v>
      </c>
      <c r="F8" s="8">
        <v>3288</v>
      </c>
    </row>
    <row r="9" spans="1:6" ht="16.5" x14ac:dyDescent="0.3">
      <c r="A9" s="17" t="s">
        <v>25</v>
      </c>
      <c r="B9" s="15" t="s">
        <v>10</v>
      </c>
      <c r="C9" s="10">
        <v>11747</v>
      </c>
      <c r="D9" s="10">
        <v>1366.5</v>
      </c>
      <c r="E9" s="10">
        <v>6139.4</v>
      </c>
      <c r="F9" s="10">
        <v>3763.1</v>
      </c>
    </row>
    <row r="10" spans="1:6" ht="16.5" x14ac:dyDescent="0.3">
      <c r="A10" s="16" t="s">
        <v>26</v>
      </c>
      <c r="B10" s="14" t="s">
        <v>10</v>
      </c>
      <c r="C10" s="8">
        <v>13086</v>
      </c>
      <c r="D10" s="8">
        <v>1258.2</v>
      </c>
      <c r="E10" s="8">
        <v>1247.3</v>
      </c>
      <c r="F10" s="8">
        <v>3090.7</v>
      </c>
    </row>
    <row r="11" spans="1:6" ht="16.5" x14ac:dyDescent="0.3">
      <c r="A11" s="17" t="s">
        <v>27</v>
      </c>
      <c r="B11" s="15" t="s">
        <v>10</v>
      </c>
      <c r="C11" s="10">
        <v>8223</v>
      </c>
      <c r="D11" s="10">
        <v>722</v>
      </c>
      <c r="E11" s="10">
        <v>3234</v>
      </c>
      <c r="F11" s="10">
        <v>1349</v>
      </c>
    </row>
    <row r="12" spans="1:6" ht="16.5" x14ac:dyDescent="0.3">
      <c r="A12" s="16" t="s">
        <v>134</v>
      </c>
      <c r="B12" s="14" t="s">
        <v>10</v>
      </c>
      <c r="C12" s="8">
        <v>10252</v>
      </c>
      <c r="D12" s="8">
        <v>881.95</v>
      </c>
      <c r="E12" s="8">
        <v>515</v>
      </c>
      <c r="F12" s="8">
        <v>3094</v>
      </c>
    </row>
    <row r="13" spans="1:6" ht="16.5" x14ac:dyDescent="0.3">
      <c r="A13" s="17" t="s">
        <v>28</v>
      </c>
      <c r="B13" s="15" t="s">
        <v>10</v>
      </c>
      <c r="C13" s="10">
        <v>3875</v>
      </c>
      <c r="D13" s="10">
        <v>272</v>
      </c>
      <c r="E13" s="10">
        <v>77</v>
      </c>
      <c r="F13" s="10">
        <v>3002.5</v>
      </c>
    </row>
    <row r="14" spans="1:6" ht="16.5" x14ac:dyDescent="0.3">
      <c r="A14" s="16" t="s">
        <v>29</v>
      </c>
      <c r="B14" s="14" t="s">
        <v>10</v>
      </c>
      <c r="C14" s="8">
        <v>5289.6</v>
      </c>
      <c r="D14" s="8">
        <v>374.1</v>
      </c>
      <c r="E14" s="8">
        <v>1963</v>
      </c>
      <c r="F14" s="8">
        <v>2853</v>
      </c>
    </row>
    <row r="15" spans="1:6" ht="16.5" x14ac:dyDescent="0.3">
      <c r="A15" s="17" t="s">
        <v>30</v>
      </c>
      <c r="B15" s="15" t="s">
        <v>10</v>
      </c>
      <c r="C15" s="10">
        <v>13690</v>
      </c>
      <c r="D15" s="10">
        <v>1230.1500000000001</v>
      </c>
      <c r="E15" s="10">
        <v>8247.4</v>
      </c>
      <c r="F15" s="10">
        <v>4373.68</v>
      </c>
    </row>
    <row r="16" spans="1:6" ht="16.5" x14ac:dyDescent="0.3">
      <c r="A16" s="16" t="s">
        <v>133</v>
      </c>
      <c r="B16" s="14" t="s">
        <v>10</v>
      </c>
      <c r="C16" s="8">
        <v>7390.9</v>
      </c>
      <c r="D16" s="8">
        <v>693.65</v>
      </c>
      <c r="E16" s="8">
        <v>563.91999999999996</v>
      </c>
      <c r="F16" s="8">
        <v>2733.08</v>
      </c>
    </row>
    <row r="17" spans="1:6" ht="16.5" x14ac:dyDescent="0.3">
      <c r="A17" s="17" t="s">
        <v>32</v>
      </c>
      <c r="B17" s="15" t="s">
        <v>10</v>
      </c>
      <c r="C17" s="10">
        <v>5393</v>
      </c>
      <c r="D17" s="10">
        <v>576.15</v>
      </c>
      <c r="E17" s="10">
        <v>1296</v>
      </c>
      <c r="F17" s="10">
        <v>2350</v>
      </c>
    </row>
    <row r="18" spans="1:6" ht="16.5" x14ac:dyDescent="0.3">
      <c r="A18" s="16" t="s">
        <v>33</v>
      </c>
      <c r="B18" s="14" t="s">
        <v>10</v>
      </c>
      <c r="C18" s="8">
        <v>3222</v>
      </c>
      <c r="D18" s="8">
        <v>263.8</v>
      </c>
      <c r="E18" s="8">
        <v>3840</v>
      </c>
      <c r="F18" s="8">
        <v>2119</v>
      </c>
    </row>
    <row r="19" spans="1:6" ht="16.5" x14ac:dyDescent="0.3">
      <c r="A19" s="17" t="s">
        <v>31</v>
      </c>
      <c r="B19" s="15" t="s">
        <v>10</v>
      </c>
      <c r="C19" s="10">
        <v>3552</v>
      </c>
      <c r="D19" s="10">
        <v>317.3</v>
      </c>
      <c r="E19" s="10">
        <v>1163</v>
      </c>
      <c r="F19" s="10">
        <v>2235</v>
      </c>
    </row>
    <row r="20" spans="1:6" ht="16.5" x14ac:dyDescent="0.3">
      <c r="A20" s="16" t="s">
        <v>34</v>
      </c>
      <c r="B20" s="14" t="s">
        <v>10</v>
      </c>
      <c r="C20" s="8">
        <v>8904</v>
      </c>
      <c r="D20" s="8">
        <v>934.3</v>
      </c>
      <c r="E20" s="8">
        <v>898</v>
      </c>
      <c r="F20" s="8">
        <v>5485</v>
      </c>
    </row>
    <row r="21" spans="1:6" ht="16.5" x14ac:dyDescent="0.3">
      <c r="A21" s="17" t="s">
        <v>35</v>
      </c>
      <c r="B21" s="15" t="s">
        <v>10</v>
      </c>
      <c r="C21" s="10">
        <v>5664</v>
      </c>
      <c r="D21" s="10">
        <v>552.75</v>
      </c>
      <c r="E21" s="10">
        <v>4187</v>
      </c>
      <c r="F21" s="10">
        <v>2873</v>
      </c>
    </row>
    <row r="22" spans="1:6" ht="16.5" x14ac:dyDescent="0.3">
      <c r="A22" s="16" t="s">
        <v>128</v>
      </c>
      <c r="B22" s="14" t="s">
        <v>10</v>
      </c>
      <c r="C22" s="8">
        <v>1909</v>
      </c>
      <c r="D22" s="8">
        <v>227.25</v>
      </c>
      <c r="E22" s="8">
        <v>2787.5</v>
      </c>
      <c r="F22" s="8">
        <v>331.5</v>
      </c>
    </row>
    <row r="23" spans="1:6" ht="16.5" x14ac:dyDescent="0.3">
      <c r="A23" s="17" t="s">
        <v>129</v>
      </c>
      <c r="B23" s="15" t="s">
        <v>10</v>
      </c>
      <c r="C23" s="10">
        <v>6294</v>
      </c>
      <c r="D23" s="10">
        <v>742.4</v>
      </c>
      <c r="E23" s="10">
        <v>438.1</v>
      </c>
      <c r="F23" s="10">
        <v>3679.4</v>
      </c>
    </row>
    <row r="24" spans="1:6" ht="16.5" x14ac:dyDescent="0.3">
      <c r="A24" s="16" t="s">
        <v>130</v>
      </c>
      <c r="B24" s="14" t="s">
        <v>10</v>
      </c>
      <c r="C24" s="8">
        <v>8536</v>
      </c>
      <c r="D24" s="8">
        <v>732.95</v>
      </c>
      <c r="E24" s="8">
        <v>449</v>
      </c>
      <c r="F24" s="8">
        <v>3123</v>
      </c>
    </row>
    <row r="25" spans="1:6" ht="16.5" x14ac:dyDescent="0.3">
      <c r="A25" s="17" t="s">
        <v>131</v>
      </c>
      <c r="B25" s="15" t="s">
        <v>10</v>
      </c>
      <c r="C25" s="10">
        <v>6012</v>
      </c>
      <c r="D25" s="10">
        <v>629.85</v>
      </c>
      <c r="E25" s="10">
        <v>1433</v>
      </c>
      <c r="F25" s="10">
        <v>2831</v>
      </c>
    </row>
    <row r="26" spans="1:6" ht="16.5" x14ac:dyDescent="0.3">
      <c r="A26" s="16" t="s">
        <v>36</v>
      </c>
      <c r="B26" s="14" t="s">
        <v>10</v>
      </c>
      <c r="C26" s="8">
        <v>11953</v>
      </c>
      <c r="D26" s="8">
        <v>1179.3</v>
      </c>
      <c r="E26" s="8">
        <v>346</v>
      </c>
      <c r="F26" s="8">
        <v>4506</v>
      </c>
    </row>
    <row r="27" spans="1:6" ht="16.5" x14ac:dyDescent="0.3">
      <c r="A27" s="17" t="s">
        <v>132</v>
      </c>
      <c r="B27" s="15" t="s">
        <v>10</v>
      </c>
      <c r="C27" s="10">
        <v>12680.8</v>
      </c>
      <c r="D27" s="10">
        <v>1255.5</v>
      </c>
      <c r="E27" s="10">
        <v>297</v>
      </c>
      <c r="F27" s="10">
        <v>7096</v>
      </c>
    </row>
    <row r="28" spans="1:6" ht="16.5" x14ac:dyDescent="0.3">
      <c r="A28" s="16" t="s">
        <v>38</v>
      </c>
      <c r="B28" s="14" t="s">
        <v>10</v>
      </c>
      <c r="C28" s="8">
        <v>6410</v>
      </c>
      <c r="D28" s="8">
        <v>751.35</v>
      </c>
      <c r="E28" s="8">
        <v>3318.37</v>
      </c>
      <c r="F28" s="8">
        <v>7511.63</v>
      </c>
    </row>
    <row r="29" spans="1:6" ht="16.5" x14ac:dyDescent="0.3">
      <c r="A29" s="17" t="s">
        <v>39</v>
      </c>
      <c r="B29" s="15" t="s">
        <v>10</v>
      </c>
      <c r="C29" s="10">
        <v>3673</v>
      </c>
      <c r="D29" s="10">
        <v>380.1</v>
      </c>
      <c r="E29" s="10">
        <v>5179</v>
      </c>
      <c r="F29" s="10">
        <v>420</v>
      </c>
    </row>
    <row r="30" spans="1:6" ht="16.5" x14ac:dyDescent="0.3">
      <c r="A30" s="16" t="s">
        <v>40</v>
      </c>
      <c r="B30" s="14" t="s">
        <v>10</v>
      </c>
      <c r="C30" s="8">
        <v>4055</v>
      </c>
      <c r="D30" s="8">
        <v>428.05</v>
      </c>
      <c r="E30" s="8">
        <v>80</v>
      </c>
      <c r="F30" s="8">
        <v>1545</v>
      </c>
    </row>
    <row r="31" spans="1:6" ht="16.5" x14ac:dyDescent="0.3">
      <c r="A31" s="17" t="s">
        <v>41</v>
      </c>
      <c r="B31" s="15" t="s">
        <v>10</v>
      </c>
      <c r="C31" s="10">
        <v>4429</v>
      </c>
      <c r="D31" s="10">
        <v>436.1</v>
      </c>
      <c r="E31" s="10">
        <v>1094.8</v>
      </c>
      <c r="F31" s="10">
        <v>2760.2</v>
      </c>
    </row>
    <row r="32" spans="1:6" ht="16.5" x14ac:dyDescent="0.3">
      <c r="A32" s="16" t="s">
        <v>37</v>
      </c>
      <c r="B32" s="14" t="s">
        <v>10</v>
      </c>
      <c r="C32" s="8">
        <v>7185</v>
      </c>
      <c r="D32" s="8">
        <v>720.1</v>
      </c>
      <c r="E32" s="8">
        <v>1830</v>
      </c>
      <c r="F32" s="8">
        <v>5173</v>
      </c>
    </row>
    <row r="33" spans="1:6" ht="16.5" x14ac:dyDescent="0.3">
      <c r="A33" s="17" t="s">
        <v>42</v>
      </c>
      <c r="B33" s="15" t="s">
        <v>11</v>
      </c>
      <c r="C33" s="10">
        <v>4464</v>
      </c>
      <c r="D33" s="10">
        <v>407.25</v>
      </c>
      <c r="E33" s="10">
        <v>2940</v>
      </c>
      <c r="F33" s="10">
        <v>1779</v>
      </c>
    </row>
    <row r="34" spans="1:6" ht="16.5" x14ac:dyDescent="0.3">
      <c r="A34" s="16" t="s">
        <v>43</v>
      </c>
      <c r="B34" s="14" t="s">
        <v>11</v>
      </c>
      <c r="C34" s="8">
        <v>5878</v>
      </c>
      <c r="D34" s="8">
        <v>577.35</v>
      </c>
      <c r="E34" s="8">
        <v>1823</v>
      </c>
      <c r="F34" s="8">
        <v>1411</v>
      </c>
    </row>
    <row r="35" spans="1:6" ht="16.5" x14ac:dyDescent="0.3">
      <c r="A35" s="17" t="s">
        <v>141</v>
      </c>
      <c r="B35" s="15" t="s">
        <v>11</v>
      </c>
      <c r="C35" s="10">
        <v>7135</v>
      </c>
      <c r="D35" s="10">
        <v>597.35</v>
      </c>
      <c r="E35" s="10">
        <v>210</v>
      </c>
      <c r="F35" s="10">
        <v>3197</v>
      </c>
    </row>
    <row r="36" spans="1:6" ht="16.5" x14ac:dyDescent="0.3">
      <c r="A36" s="16" t="s">
        <v>44</v>
      </c>
      <c r="B36" s="14" t="s">
        <v>11</v>
      </c>
      <c r="C36" s="8">
        <v>6175</v>
      </c>
      <c r="D36" s="8">
        <v>564.9</v>
      </c>
      <c r="E36" s="8">
        <v>3390</v>
      </c>
      <c r="F36" s="8">
        <v>2387.5</v>
      </c>
    </row>
    <row r="37" spans="1:6" ht="16.5" x14ac:dyDescent="0.3">
      <c r="A37" s="17" t="s">
        <v>45</v>
      </c>
      <c r="B37" s="15" t="s">
        <v>11</v>
      </c>
      <c r="C37" s="10">
        <v>5659</v>
      </c>
      <c r="D37" s="10">
        <v>601.65</v>
      </c>
      <c r="E37" s="10">
        <v>2358.8200000000002</v>
      </c>
      <c r="F37" s="10">
        <v>3622.18</v>
      </c>
    </row>
    <row r="38" spans="1:6" ht="16.5" x14ac:dyDescent="0.3">
      <c r="A38" s="16" t="s">
        <v>142</v>
      </c>
      <c r="B38" s="14" t="s">
        <v>11</v>
      </c>
      <c r="C38" s="8">
        <v>9310</v>
      </c>
      <c r="D38" s="8">
        <v>904.05</v>
      </c>
      <c r="E38" s="8">
        <v>387</v>
      </c>
      <c r="F38" s="8">
        <v>3970</v>
      </c>
    </row>
    <row r="39" spans="1:6" ht="16.5" x14ac:dyDescent="0.3">
      <c r="A39" s="17" t="s">
        <v>143</v>
      </c>
      <c r="B39" s="15" t="s">
        <v>11</v>
      </c>
      <c r="C39" s="10">
        <v>2113</v>
      </c>
      <c r="D39" s="10">
        <v>208.7</v>
      </c>
      <c r="E39" s="10">
        <v>749</v>
      </c>
      <c r="F39" s="10">
        <v>1978.5</v>
      </c>
    </row>
    <row r="40" spans="1:6" ht="16.5" x14ac:dyDescent="0.3">
      <c r="A40" s="16" t="s">
        <v>47</v>
      </c>
      <c r="B40" s="14" t="s">
        <v>11</v>
      </c>
      <c r="C40" s="8">
        <v>6674</v>
      </c>
      <c r="D40" s="8">
        <v>754.5</v>
      </c>
      <c r="E40" s="8">
        <v>4666</v>
      </c>
      <c r="F40" s="8">
        <v>1237</v>
      </c>
    </row>
    <row r="41" spans="1:6" ht="16.5" x14ac:dyDescent="0.3">
      <c r="A41" s="17" t="s">
        <v>46</v>
      </c>
      <c r="B41" s="15" t="s">
        <v>11</v>
      </c>
      <c r="C41" s="10">
        <v>2590</v>
      </c>
      <c r="D41" s="10">
        <v>189</v>
      </c>
      <c r="E41" s="10">
        <v>1266</v>
      </c>
      <c r="F41" s="10">
        <v>280</v>
      </c>
    </row>
    <row r="42" spans="1:6" ht="16.5" x14ac:dyDescent="0.3">
      <c r="A42" s="16" t="s">
        <v>48</v>
      </c>
      <c r="B42" s="14" t="s">
        <v>11</v>
      </c>
      <c r="C42" s="8">
        <v>4117</v>
      </c>
      <c r="D42" s="8">
        <v>397.8</v>
      </c>
      <c r="E42" s="8">
        <v>2060</v>
      </c>
      <c r="F42" s="8">
        <v>2313</v>
      </c>
    </row>
    <row r="43" spans="1:6" ht="16.5" x14ac:dyDescent="0.3">
      <c r="A43" s="17" t="s">
        <v>49</v>
      </c>
      <c r="B43" s="15" t="s">
        <v>11</v>
      </c>
      <c r="C43" s="10">
        <v>5893</v>
      </c>
      <c r="D43" s="10">
        <v>648.29999999999995</v>
      </c>
      <c r="E43" s="10">
        <v>1832</v>
      </c>
      <c r="F43" s="10">
        <v>2661</v>
      </c>
    </row>
    <row r="44" spans="1:6" ht="16.5" x14ac:dyDescent="0.3">
      <c r="A44" s="16" t="s">
        <v>50</v>
      </c>
      <c r="B44" s="14" t="s">
        <v>11</v>
      </c>
      <c r="C44" s="8">
        <v>9322</v>
      </c>
      <c r="D44" s="8">
        <v>895.55</v>
      </c>
      <c r="E44" s="8">
        <v>226</v>
      </c>
      <c r="F44" s="8">
        <v>4017</v>
      </c>
    </row>
    <row r="45" spans="1:6" ht="16.5" x14ac:dyDescent="0.3">
      <c r="A45" s="17" t="s">
        <v>51</v>
      </c>
      <c r="B45" s="15" t="s">
        <v>11</v>
      </c>
      <c r="C45" s="10">
        <v>3204</v>
      </c>
      <c r="D45" s="10">
        <v>319.5</v>
      </c>
      <c r="E45" s="10">
        <v>25</v>
      </c>
      <c r="F45" s="10">
        <v>4739</v>
      </c>
    </row>
    <row r="46" spans="1:6" ht="16.5" x14ac:dyDescent="0.3">
      <c r="A46" s="16" t="s">
        <v>52</v>
      </c>
      <c r="B46" s="14" t="s">
        <v>11</v>
      </c>
      <c r="C46" s="8">
        <v>10552</v>
      </c>
      <c r="D46" s="8">
        <v>916.45</v>
      </c>
      <c r="E46" s="8">
        <v>9071</v>
      </c>
      <c r="F46" s="8">
        <v>1575</v>
      </c>
    </row>
    <row r="47" spans="1:6" ht="16.5" x14ac:dyDescent="0.3">
      <c r="A47" s="17" t="s">
        <v>53</v>
      </c>
      <c r="B47" s="15" t="s">
        <v>11</v>
      </c>
      <c r="C47" s="10">
        <v>3110</v>
      </c>
      <c r="D47" s="10">
        <v>233.1</v>
      </c>
      <c r="E47" s="10">
        <v>3599</v>
      </c>
      <c r="F47" s="10">
        <v>726</v>
      </c>
    </row>
    <row r="48" spans="1:6" ht="16.5" x14ac:dyDescent="0.3">
      <c r="A48" s="16" t="s">
        <v>54</v>
      </c>
      <c r="B48" s="14" t="s">
        <v>11</v>
      </c>
      <c r="C48" s="8">
        <v>7406</v>
      </c>
      <c r="D48" s="8">
        <v>775.35</v>
      </c>
      <c r="E48" s="8">
        <v>2413.31</v>
      </c>
      <c r="F48" s="8">
        <v>2584.69</v>
      </c>
    </row>
    <row r="49" spans="1:6" ht="16.5" x14ac:dyDescent="0.3">
      <c r="A49" s="17" t="s">
        <v>140</v>
      </c>
      <c r="B49" s="15" t="s">
        <v>11</v>
      </c>
      <c r="C49" s="10">
        <v>16071</v>
      </c>
      <c r="D49" s="10">
        <v>1433.45</v>
      </c>
      <c r="E49" s="10">
        <v>980</v>
      </c>
      <c r="F49" s="10">
        <v>7975</v>
      </c>
    </row>
    <row r="50" spans="1:6" ht="16.5" x14ac:dyDescent="0.3">
      <c r="A50" s="16" t="s">
        <v>55</v>
      </c>
      <c r="B50" s="14" t="s">
        <v>11</v>
      </c>
      <c r="C50" s="8">
        <v>11905</v>
      </c>
      <c r="D50" s="8">
        <v>1209.5</v>
      </c>
      <c r="E50" s="8">
        <v>5403</v>
      </c>
      <c r="F50" s="8">
        <v>3111</v>
      </c>
    </row>
    <row r="51" spans="1:6" ht="16.5" x14ac:dyDescent="0.3">
      <c r="A51" s="17" t="s">
        <v>56</v>
      </c>
      <c r="B51" s="15" t="s">
        <v>11</v>
      </c>
      <c r="C51" s="10">
        <v>11825</v>
      </c>
      <c r="D51" s="10">
        <v>1109.25</v>
      </c>
      <c r="E51" s="10">
        <v>4147</v>
      </c>
      <c r="F51" s="10">
        <v>4841</v>
      </c>
    </row>
    <row r="52" spans="1:6" ht="16.5" x14ac:dyDescent="0.3">
      <c r="A52" s="16" t="s">
        <v>57</v>
      </c>
      <c r="B52" s="14" t="s">
        <v>11</v>
      </c>
      <c r="C52" s="8">
        <v>6590</v>
      </c>
      <c r="D52" s="8">
        <v>560.75</v>
      </c>
      <c r="E52" s="8">
        <v>4509</v>
      </c>
      <c r="F52" s="8">
        <v>3995</v>
      </c>
    </row>
    <row r="53" spans="1:6" ht="16.5" x14ac:dyDescent="0.3">
      <c r="A53" s="17" t="s">
        <v>58</v>
      </c>
      <c r="B53" s="15" t="s">
        <v>11</v>
      </c>
      <c r="C53" s="10">
        <v>7325</v>
      </c>
      <c r="D53" s="10">
        <v>539.9</v>
      </c>
      <c r="E53" s="10">
        <v>3380</v>
      </c>
      <c r="F53" s="10">
        <v>4135.5</v>
      </c>
    </row>
    <row r="54" spans="1:6" ht="16.5" x14ac:dyDescent="0.3">
      <c r="A54" s="16" t="s">
        <v>137</v>
      </c>
      <c r="B54" s="14" t="s">
        <v>11</v>
      </c>
      <c r="C54" s="8">
        <v>3771</v>
      </c>
      <c r="D54" s="8">
        <v>295.60000000000002</v>
      </c>
      <c r="E54" s="8">
        <v>66</v>
      </c>
      <c r="F54" s="8">
        <v>3474</v>
      </c>
    </row>
    <row r="55" spans="1:6" ht="16.5" x14ac:dyDescent="0.3">
      <c r="A55" s="17" t="s">
        <v>59</v>
      </c>
      <c r="B55" s="15" t="s">
        <v>11</v>
      </c>
      <c r="C55" s="10">
        <v>7006</v>
      </c>
      <c r="D55" s="10">
        <v>824.85</v>
      </c>
      <c r="E55" s="10">
        <v>3303.5</v>
      </c>
      <c r="F55" s="10">
        <v>5123.5</v>
      </c>
    </row>
    <row r="56" spans="1:6" ht="16.5" x14ac:dyDescent="0.3">
      <c r="A56" s="16" t="s">
        <v>60</v>
      </c>
      <c r="B56" s="14" t="s">
        <v>11</v>
      </c>
      <c r="C56" s="8">
        <v>6616</v>
      </c>
      <c r="D56" s="8">
        <v>550.04999999999995</v>
      </c>
      <c r="E56" s="8">
        <v>7356</v>
      </c>
      <c r="F56" s="8">
        <v>1406.5</v>
      </c>
    </row>
    <row r="57" spans="1:6" ht="16.5" x14ac:dyDescent="0.3">
      <c r="A57" s="17" t="s">
        <v>61</v>
      </c>
      <c r="B57" s="15" t="s">
        <v>11</v>
      </c>
      <c r="C57" s="10">
        <v>5050</v>
      </c>
      <c r="D57" s="10">
        <v>463</v>
      </c>
      <c r="E57" s="10">
        <v>2733</v>
      </c>
      <c r="F57" s="10">
        <v>498</v>
      </c>
    </row>
    <row r="58" spans="1:6" ht="16.5" x14ac:dyDescent="0.3">
      <c r="A58" s="16" t="s">
        <v>139</v>
      </c>
      <c r="B58" s="14" t="s">
        <v>11</v>
      </c>
      <c r="C58" s="8">
        <v>4438</v>
      </c>
      <c r="D58" s="8">
        <v>340.55</v>
      </c>
      <c r="E58" s="8">
        <v>134</v>
      </c>
      <c r="F58" s="8">
        <v>2969</v>
      </c>
    </row>
    <row r="59" spans="1:6" ht="16.5" x14ac:dyDescent="0.3">
      <c r="A59" s="17" t="s">
        <v>62</v>
      </c>
      <c r="B59" s="15" t="s">
        <v>11</v>
      </c>
      <c r="C59" s="10">
        <v>5142</v>
      </c>
      <c r="D59" s="10">
        <v>541.29999999999995</v>
      </c>
      <c r="E59" s="10">
        <v>2584</v>
      </c>
      <c r="F59" s="10">
        <v>1982</v>
      </c>
    </row>
    <row r="60" spans="1:6" ht="16.5" x14ac:dyDescent="0.3">
      <c r="A60" s="16" t="s">
        <v>138</v>
      </c>
      <c r="B60" s="14" t="s">
        <v>11</v>
      </c>
      <c r="C60" s="8">
        <v>10608</v>
      </c>
      <c r="D60" s="8">
        <v>980.2</v>
      </c>
      <c r="E60" s="8">
        <v>835</v>
      </c>
      <c r="F60" s="8">
        <v>5871</v>
      </c>
    </row>
    <row r="61" spans="1:6" ht="16.5" x14ac:dyDescent="0.3">
      <c r="A61" s="17" t="s">
        <v>63</v>
      </c>
      <c r="B61" s="15" t="s">
        <v>12</v>
      </c>
      <c r="C61" s="10">
        <v>5561</v>
      </c>
      <c r="D61" s="10">
        <v>411.45</v>
      </c>
      <c r="E61" s="10">
        <v>315</v>
      </c>
      <c r="F61" s="10">
        <v>2858</v>
      </c>
    </row>
    <row r="62" spans="1:6" ht="16.5" x14ac:dyDescent="0.3">
      <c r="A62" s="16" t="s">
        <v>64</v>
      </c>
      <c r="B62" s="14" t="s">
        <v>12</v>
      </c>
      <c r="C62" s="8">
        <v>4529</v>
      </c>
      <c r="D62" s="8">
        <v>340.5</v>
      </c>
      <c r="E62" s="8">
        <v>3701</v>
      </c>
      <c r="F62" s="8">
        <v>1153</v>
      </c>
    </row>
    <row r="63" spans="1:6" ht="16.5" x14ac:dyDescent="0.3">
      <c r="A63" s="17" t="s">
        <v>65</v>
      </c>
      <c r="B63" s="15" t="s">
        <v>12</v>
      </c>
      <c r="C63" s="10">
        <v>4517</v>
      </c>
      <c r="D63" s="10">
        <v>298.25</v>
      </c>
      <c r="E63" s="10">
        <v>3088.7</v>
      </c>
      <c r="F63" s="10">
        <v>3154.3</v>
      </c>
    </row>
    <row r="64" spans="1:6" ht="16.5" x14ac:dyDescent="0.3">
      <c r="A64" s="16" t="s">
        <v>147</v>
      </c>
      <c r="B64" s="14" t="s">
        <v>12</v>
      </c>
      <c r="C64" s="8">
        <v>15390</v>
      </c>
      <c r="D64" s="8">
        <v>1133.6500000000001</v>
      </c>
      <c r="E64" s="8">
        <v>618.70000000000005</v>
      </c>
      <c r="F64" s="8">
        <v>8480.7999999999993</v>
      </c>
    </row>
    <row r="65" spans="1:6" ht="16.5" x14ac:dyDescent="0.3">
      <c r="A65" s="17" t="s">
        <v>66</v>
      </c>
      <c r="B65" s="15" t="s">
        <v>12</v>
      </c>
      <c r="C65" s="10">
        <v>6802</v>
      </c>
      <c r="D65" s="10">
        <v>603.1</v>
      </c>
      <c r="E65" s="10">
        <v>8023</v>
      </c>
      <c r="F65" s="10">
        <v>3279</v>
      </c>
    </row>
    <row r="66" spans="1:6" ht="16.5" x14ac:dyDescent="0.3">
      <c r="A66" s="16" t="s">
        <v>67</v>
      </c>
      <c r="B66" s="14" t="s">
        <v>12</v>
      </c>
      <c r="C66" s="8">
        <v>4881</v>
      </c>
      <c r="D66" s="8">
        <v>420.3</v>
      </c>
      <c r="E66" s="8">
        <v>60</v>
      </c>
      <c r="F66" s="8">
        <v>3929</v>
      </c>
    </row>
    <row r="67" spans="1:6" ht="16.5" x14ac:dyDescent="0.3">
      <c r="A67" s="17" t="s">
        <v>68</v>
      </c>
      <c r="B67" s="15" t="s">
        <v>12</v>
      </c>
      <c r="C67" s="10">
        <v>7622</v>
      </c>
      <c r="D67" s="10">
        <v>795.4</v>
      </c>
      <c r="E67" s="10">
        <v>2544</v>
      </c>
      <c r="F67" s="10">
        <v>1368</v>
      </c>
    </row>
    <row r="68" spans="1:6" ht="16.5" x14ac:dyDescent="0.3">
      <c r="A68" s="16" t="s">
        <v>69</v>
      </c>
      <c r="B68" s="14" t="s">
        <v>12</v>
      </c>
      <c r="C68" s="8">
        <v>7703</v>
      </c>
      <c r="D68" s="8">
        <v>556.70000000000005</v>
      </c>
      <c r="E68" s="8">
        <v>1537</v>
      </c>
      <c r="F68" s="8">
        <v>4022</v>
      </c>
    </row>
    <row r="69" spans="1:6" ht="16.5" x14ac:dyDescent="0.3">
      <c r="A69" s="17" t="s">
        <v>70</v>
      </c>
      <c r="B69" s="15" t="s">
        <v>12</v>
      </c>
      <c r="C69" s="10">
        <v>10477</v>
      </c>
      <c r="D69" s="10">
        <v>979.25</v>
      </c>
      <c r="E69" s="10">
        <v>1895</v>
      </c>
      <c r="F69" s="10">
        <v>4940</v>
      </c>
    </row>
    <row r="70" spans="1:6" ht="16.5" x14ac:dyDescent="0.3">
      <c r="A70" s="16" t="s">
        <v>71</v>
      </c>
      <c r="B70" s="14" t="s">
        <v>12</v>
      </c>
      <c r="C70" s="8">
        <v>4573</v>
      </c>
      <c r="D70" s="8">
        <v>334</v>
      </c>
      <c r="E70" s="8">
        <v>367</v>
      </c>
      <c r="F70" s="8">
        <v>1933</v>
      </c>
    </row>
    <row r="71" spans="1:6" ht="16.5" x14ac:dyDescent="0.3">
      <c r="A71" s="17" t="s">
        <v>72</v>
      </c>
      <c r="B71" s="15" t="s">
        <v>12</v>
      </c>
      <c r="C71" s="10">
        <v>7278</v>
      </c>
      <c r="D71" s="10">
        <v>750.85</v>
      </c>
      <c r="E71" s="10">
        <v>6489</v>
      </c>
      <c r="F71" s="10">
        <v>158</v>
      </c>
    </row>
    <row r="72" spans="1:6" ht="16.5" x14ac:dyDescent="0.3">
      <c r="A72" s="16" t="s">
        <v>73</v>
      </c>
      <c r="B72" s="14" t="s">
        <v>12</v>
      </c>
      <c r="C72" s="8">
        <v>3127</v>
      </c>
      <c r="D72" s="8">
        <v>381.35</v>
      </c>
      <c r="E72" s="8">
        <v>665</v>
      </c>
      <c r="F72" s="8">
        <v>373</v>
      </c>
    </row>
    <row r="73" spans="1:6" ht="16.5" x14ac:dyDescent="0.3">
      <c r="A73" s="17" t="s">
        <v>74</v>
      </c>
      <c r="B73" s="15" t="s">
        <v>12</v>
      </c>
      <c r="C73" s="10">
        <v>1945</v>
      </c>
      <c r="D73" s="10">
        <v>90.9</v>
      </c>
      <c r="E73" s="10">
        <v>30</v>
      </c>
      <c r="F73" s="10">
        <v>1270</v>
      </c>
    </row>
    <row r="74" spans="1:6" ht="16.5" x14ac:dyDescent="0.3">
      <c r="A74" s="16" t="s">
        <v>148</v>
      </c>
      <c r="B74" s="14" t="s">
        <v>12</v>
      </c>
      <c r="C74" s="8">
        <v>2940</v>
      </c>
      <c r="D74" s="8">
        <v>336.3</v>
      </c>
      <c r="E74" s="8">
        <v>3425</v>
      </c>
      <c r="F74" s="8">
        <v>1436</v>
      </c>
    </row>
    <row r="75" spans="1:6" ht="16.5" x14ac:dyDescent="0.3">
      <c r="A75" s="17" t="s">
        <v>75</v>
      </c>
      <c r="B75" s="15" t="s">
        <v>12</v>
      </c>
      <c r="C75" s="10">
        <v>2959</v>
      </c>
      <c r="D75" s="10">
        <v>191</v>
      </c>
      <c r="E75" s="10">
        <v>343</v>
      </c>
      <c r="F75" s="10">
        <v>2415</v>
      </c>
    </row>
    <row r="76" spans="1:6" ht="16.5" x14ac:dyDescent="0.3">
      <c r="A76" s="16" t="s">
        <v>76</v>
      </c>
      <c r="B76" s="14" t="s">
        <v>12</v>
      </c>
      <c r="C76" s="8">
        <v>5574</v>
      </c>
      <c r="D76" s="8">
        <v>534.4</v>
      </c>
      <c r="E76" s="8">
        <v>1071</v>
      </c>
      <c r="F76" s="8">
        <v>4039</v>
      </c>
    </row>
    <row r="77" spans="1:6" ht="16.5" x14ac:dyDescent="0.3">
      <c r="A77" s="17" t="s">
        <v>77</v>
      </c>
      <c r="B77" s="15" t="s">
        <v>12</v>
      </c>
      <c r="C77" s="10">
        <v>6455</v>
      </c>
      <c r="D77" s="10">
        <v>603.15</v>
      </c>
      <c r="E77" s="10">
        <v>5040</v>
      </c>
      <c r="F77" s="10">
        <v>144</v>
      </c>
    </row>
    <row r="78" spans="1:6" ht="16.5" x14ac:dyDescent="0.3">
      <c r="A78" s="16" t="s">
        <v>78</v>
      </c>
      <c r="B78" s="14" t="s">
        <v>12</v>
      </c>
      <c r="C78" s="8">
        <v>5829</v>
      </c>
      <c r="D78" s="8">
        <v>637.20000000000005</v>
      </c>
      <c r="E78" s="8">
        <v>2651</v>
      </c>
      <c r="F78" s="8">
        <v>3677</v>
      </c>
    </row>
    <row r="79" spans="1:6" ht="16.5" x14ac:dyDescent="0.3">
      <c r="A79" s="17" t="s">
        <v>79</v>
      </c>
      <c r="B79" s="15" t="s">
        <v>12</v>
      </c>
      <c r="C79" s="10">
        <v>2397</v>
      </c>
      <c r="D79" s="10">
        <v>216.5</v>
      </c>
      <c r="E79" s="10">
        <v>353</v>
      </c>
      <c r="F79" s="10">
        <v>1293</v>
      </c>
    </row>
    <row r="80" spans="1:6" ht="16.5" x14ac:dyDescent="0.3">
      <c r="A80" s="16" t="s">
        <v>80</v>
      </c>
      <c r="B80" s="14" t="s">
        <v>12</v>
      </c>
      <c r="C80" s="8">
        <v>4303</v>
      </c>
      <c r="D80" s="8">
        <v>386.6</v>
      </c>
      <c r="E80" s="8">
        <v>110</v>
      </c>
      <c r="F80" s="8">
        <v>3174</v>
      </c>
    </row>
    <row r="81" spans="1:6" ht="16.5" x14ac:dyDescent="0.3">
      <c r="A81" s="17" t="s">
        <v>144</v>
      </c>
      <c r="B81" s="15" t="s">
        <v>12</v>
      </c>
      <c r="C81" s="10">
        <v>4828</v>
      </c>
      <c r="D81" s="10">
        <v>416.95</v>
      </c>
      <c r="E81" s="10">
        <v>0</v>
      </c>
      <c r="F81" s="10">
        <v>3130</v>
      </c>
    </row>
    <row r="82" spans="1:6" ht="16.5" x14ac:dyDescent="0.3">
      <c r="A82" s="16" t="s">
        <v>81</v>
      </c>
      <c r="B82" s="14" t="s">
        <v>12</v>
      </c>
      <c r="C82" s="8">
        <v>3827</v>
      </c>
      <c r="D82" s="8">
        <v>400.75</v>
      </c>
      <c r="E82" s="8">
        <v>2030</v>
      </c>
      <c r="F82" s="8">
        <v>3473</v>
      </c>
    </row>
    <row r="83" spans="1:6" ht="16.5" x14ac:dyDescent="0.3">
      <c r="A83" s="17" t="s">
        <v>82</v>
      </c>
      <c r="B83" s="15" t="s">
        <v>12</v>
      </c>
      <c r="C83" s="10">
        <v>3279</v>
      </c>
      <c r="D83" s="10">
        <v>252</v>
      </c>
      <c r="E83" s="10">
        <v>2660.47</v>
      </c>
      <c r="F83" s="10">
        <v>2986.53</v>
      </c>
    </row>
    <row r="84" spans="1:6" ht="16.5" x14ac:dyDescent="0.3">
      <c r="A84" s="16" t="s">
        <v>145</v>
      </c>
      <c r="B84" s="14" t="s">
        <v>12</v>
      </c>
      <c r="C84" s="8">
        <v>8110</v>
      </c>
      <c r="D84" s="8">
        <v>781.75</v>
      </c>
      <c r="E84" s="8">
        <v>4664</v>
      </c>
      <c r="F84" s="8">
        <v>2609</v>
      </c>
    </row>
    <row r="85" spans="1:6" ht="16.5" x14ac:dyDescent="0.3">
      <c r="A85" s="17" t="s">
        <v>83</v>
      </c>
      <c r="B85" s="15" t="s">
        <v>12</v>
      </c>
      <c r="C85" s="10">
        <v>6411</v>
      </c>
      <c r="D85" s="10">
        <v>674.95</v>
      </c>
      <c r="E85" s="10">
        <v>5606.5</v>
      </c>
      <c r="F85" s="10">
        <v>402.50000000000102</v>
      </c>
    </row>
    <row r="86" spans="1:6" ht="16.5" x14ac:dyDescent="0.3">
      <c r="A86" s="16" t="s">
        <v>84</v>
      </c>
      <c r="B86" s="14" t="s">
        <v>12</v>
      </c>
      <c r="C86" s="8">
        <v>3554</v>
      </c>
      <c r="D86" s="8">
        <v>383.8</v>
      </c>
      <c r="E86" s="8">
        <v>3589</v>
      </c>
      <c r="F86" s="8">
        <v>467</v>
      </c>
    </row>
    <row r="87" spans="1:6" ht="16.5" x14ac:dyDescent="0.3">
      <c r="A87" s="17" t="s">
        <v>85</v>
      </c>
      <c r="B87" s="15" t="s">
        <v>12</v>
      </c>
      <c r="C87" s="10">
        <v>3938</v>
      </c>
      <c r="D87" s="10">
        <v>440.4</v>
      </c>
      <c r="E87" s="10">
        <v>371</v>
      </c>
      <c r="F87" s="10">
        <v>982</v>
      </c>
    </row>
    <row r="88" spans="1:6" ht="16.5" x14ac:dyDescent="0.3">
      <c r="A88" s="16" t="s">
        <v>146</v>
      </c>
      <c r="B88" s="14" t="s">
        <v>12</v>
      </c>
      <c r="C88" s="8">
        <v>3995</v>
      </c>
      <c r="D88" s="8">
        <v>379.8</v>
      </c>
      <c r="E88" s="8">
        <v>61</v>
      </c>
      <c r="F88" s="8">
        <v>1595</v>
      </c>
    </row>
    <row r="89" spans="1:6" ht="16.5" x14ac:dyDescent="0.3">
      <c r="A89" s="17" t="s">
        <v>86</v>
      </c>
      <c r="B89" s="15" t="s">
        <v>12</v>
      </c>
      <c r="C89" s="10">
        <v>6510</v>
      </c>
      <c r="D89" s="10">
        <v>566.04999999999995</v>
      </c>
      <c r="E89" s="10">
        <v>1170</v>
      </c>
      <c r="F89" s="10">
        <v>4212</v>
      </c>
    </row>
    <row r="90" spans="1:6" ht="16.5" x14ac:dyDescent="0.3">
      <c r="A90" s="16" t="s">
        <v>87</v>
      </c>
      <c r="B90" s="14" t="s">
        <v>12</v>
      </c>
      <c r="C90" s="8">
        <v>8131</v>
      </c>
      <c r="D90" s="8">
        <v>626.29999999999995</v>
      </c>
      <c r="E90" s="8">
        <v>640.29999999999995</v>
      </c>
      <c r="F90" s="8">
        <v>3874.7</v>
      </c>
    </row>
    <row r="91" spans="1:6" ht="16.5" x14ac:dyDescent="0.3">
      <c r="A91" s="17" t="s">
        <v>88</v>
      </c>
      <c r="B91" s="15" t="s">
        <v>12</v>
      </c>
      <c r="C91" s="10">
        <v>4946</v>
      </c>
      <c r="D91" s="10">
        <v>297.75</v>
      </c>
      <c r="E91" s="10">
        <v>4896</v>
      </c>
      <c r="F91" s="10">
        <v>1930</v>
      </c>
    </row>
    <row r="92" spans="1:6" ht="16.5" x14ac:dyDescent="0.3">
      <c r="A92" s="16" t="s">
        <v>89</v>
      </c>
      <c r="B92" s="14" t="s">
        <v>13</v>
      </c>
      <c r="C92" s="8">
        <v>7744</v>
      </c>
      <c r="D92" s="8">
        <v>585.1</v>
      </c>
      <c r="E92" s="8">
        <v>378.5</v>
      </c>
      <c r="F92" s="8">
        <v>4991.5</v>
      </c>
    </row>
    <row r="93" spans="1:6" ht="16.5" x14ac:dyDescent="0.3">
      <c r="A93" s="17" t="s">
        <v>90</v>
      </c>
      <c r="B93" s="15" t="s">
        <v>13</v>
      </c>
      <c r="C93" s="10">
        <v>4023</v>
      </c>
      <c r="D93" s="10">
        <v>339.55</v>
      </c>
      <c r="E93" s="10">
        <v>4721</v>
      </c>
      <c r="F93" s="10">
        <v>1423</v>
      </c>
    </row>
    <row r="94" spans="1:6" ht="16.5" x14ac:dyDescent="0.3">
      <c r="A94" s="16" t="s">
        <v>91</v>
      </c>
      <c r="B94" s="14" t="s">
        <v>13</v>
      </c>
      <c r="C94" s="8">
        <v>6096</v>
      </c>
      <c r="D94" s="8">
        <v>676.4</v>
      </c>
      <c r="E94" s="8">
        <v>494</v>
      </c>
      <c r="F94" s="8">
        <v>2921</v>
      </c>
    </row>
    <row r="95" spans="1:6" ht="16.5" x14ac:dyDescent="0.3">
      <c r="A95" s="17" t="s">
        <v>153</v>
      </c>
      <c r="B95" s="15" t="s">
        <v>13</v>
      </c>
      <c r="C95" s="10">
        <v>2838</v>
      </c>
      <c r="D95" s="10">
        <v>288.3</v>
      </c>
      <c r="E95" s="10">
        <v>58</v>
      </c>
      <c r="F95" s="10">
        <v>2372</v>
      </c>
    </row>
    <row r="96" spans="1:6" ht="16.5" x14ac:dyDescent="0.3">
      <c r="A96" s="16" t="s">
        <v>92</v>
      </c>
      <c r="B96" s="14" t="s">
        <v>13</v>
      </c>
      <c r="C96" s="8">
        <v>2844</v>
      </c>
      <c r="D96" s="8">
        <v>220</v>
      </c>
      <c r="E96" s="8">
        <v>2201</v>
      </c>
      <c r="F96" s="8">
        <v>1548</v>
      </c>
    </row>
    <row r="97" spans="1:6" ht="16.5" x14ac:dyDescent="0.3">
      <c r="A97" s="17" t="s">
        <v>155</v>
      </c>
      <c r="B97" s="15" t="s">
        <v>13</v>
      </c>
      <c r="C97" s="10">
        <v>6189</v>
      </c>
      <c r="D97" s="10">
        <v>447.5</v>
      </c>
      <c r="E97" s="10">
        <v>4688</v>
      </c>
      <c r="F97" s="10">
        <v>239</v>
      </c>
    </row>
    <row r="98" spans="1:6" ht="16.5" x14ac:dyDescent="0.3">
      <c r="A98" s="16" t="s">
        <v>154</v>
      </c>
      <c r="B98" s="14" t="s">
        <v>13</v>
      </c>
      <c r="C98" s="8">
        <v>4231</v>
      </c>
      <c r="D98" s="8">
        <v>472.1</v>
      </c>
      <c r="E98" s="8">
        <v>2125</v>
      </c>
      <c r="F98" s="8">
        <v>2572</v>
      </c>
    </row>
    <row r="99" spans="1:6" ht="16.5" x14ac:dyDescent="0.3">
      <c r="A99" s="17" t="s">
        <v>94</v>
      </c>
      <c r="B99" s="15" t="s">
        <v>13</v>
      </c>
      <c r="C99" s="10">
        <v>4667</v>
      </c>
      <c r="D99" s="10">
        <v>417.1</v>
      </c>
      <c r="E99" s="10">
        <v>2877</v>
      </c>
      <c r="F99" s="10">
        <v>1399</v>
      </c>
    </row>
    <row r="100" spans="1:6" ht="16.5" x14ac:dyDescent="0.3">
      <c r="A100" s="16" t="s">
        <v>95</v>
      </c>
      <c r="B100" s="14" t="s">
        <v>13</v>
      </c>
      <c r="C100" s="8">
        <v>2015</v>
      </c>
      <c r="D100" s="8">
        <v>115.4</v>
      </c>
      <c r="E100" s="8">
        <v>30</v>
      </c>
      <c r="F100" s="8">
        <v>1465</v>
      </c>
    </row>
    <row r="101" spans="1:6" ht="16.5" x14ac:dyDescent="0.3">
      <c r="A101" s="17" t="s">
        <v>156</v>
      </c>
      <c r="B101" s="15" t="s">
        <v>13</v>
      </c>
      <c r="C101" s="10">
        <v>2987</v>
      </c>
      <c r="D101" s="10">
        <v>203.45</v>
      </c>
      <c r="E101" s="10">
        <v>230</v>
      </c>
      <c r="F101" s="10">
        <v>510</v>
      </c>
    </row>
    <row r="102" spans="1:6" ht="16.5" x14ac:dyDescent="0.3">
      <c r="A102" s="16" t="s">
        <v>152</v>
      </c>
      <c r="B102" s="14" t="s">
        <v>13</v>
      </c>
      <c r="C102" s="8">
        <v>4550</v>
      </c>
      <c r="D102" s="8">
        <v>375.4</v>
      </c>
      <c r="E102" s="8">
        <v>876</v>
      </c>
      <c r="F102" s="8">
        <v>1815</v>
      </c>
    </row>
    <row r="103" spans="1:6" ht="16.5" x14ac:dyDescent="0.3">
      <c r="A103" s="17" t="s">
        <v>97</v>
      </c>
      <c r="B103" s="15" t="s">
        <v>13</v>
      </c>
      <c r="C103" s="10">
        <v>3416</v>
      </c>
      <c r="D103" s="10">
        <v>134.6</v>
      </c>
      <c r="E103" s="10">
        <v>470</v>
      </c>
      <c r="F103" s="10">
        <v>764</v>
      </c>
    </row>
    <row r="104" spans="1:6" ht="16.5" x14ac:dyDescent="0.3">
      <c r="A104" s="16" t="s">
        <v>93</v>
      </c>
      <c r="B104" s="14" t="s">
        <v>13</v>
      </c>
      <c r="C104" s="8">
        <v>6704</v>
      </c>
      <c r="D104" s="8">
        <v>531.5</v>
      </c>
      <c r="E104" s="8">
        <v>1799</v>
      </c>
      <c r="F104" s="8">
        <v>2492</v>
      </c>
    </row>
    <row r="105" spans="1:6" ht="16.5" x14ac:dyDescent="0.3">
      <c r="A105" s="17" t="s">
        <v>96</v>
      </c>
      <c r="B105" s="15" t="s">
        <v>13</v>
      </c>
      <c r="C105" s="10">
        <v>2563</v>
      </c>
      <c r="D105" s="10">
        <v>105.05</v>
      </c>
      <c r="E105" s="10">
        <v>310</v>
      </c>
      <c r="F105" s="10">
        <v>1472</v>
      </c>
    </row>
    <row r="106" spans="1:6" ht="16.5" x14ac:dyDescent="0.3">
      <c r="A106" s="16" t="s">
        <v>98</v>
      </c>
      <c r="B106" s="14" t="s">
        <v>13</v>
      </c>
      <c r="C106" s="8">
        <v>3768</v>
      </c>
      <c r="D106" s="8">
        <v>420.15</v>
      </c>
      <c r="E106" s="8">
        <v>2484</v>
      </c>
      <c r="F106" s="8">
        <v>1465</v>
      </c>
    </row>
    <row r="107" spans="1:6" ht="16.5" x14ac:dyDescent="0.3">
      <c r="A107" s="17" t="s">
        <v>99</v>
      </c>
      <c r="B107" s="15" t="s">
        <v>13</v>
      </c>
      <c r="C107" s="10">
        <v>4907</v>
      </c>
      <c r="D107" s="10">
        <v>319.3</v>
      </c>
      <c r="E107" s="10">
        <v>1496</v>
      </c>
      <c r="F107" s="10">
        <v>3867</v>
      </c>
    </row>
    <row r="108" spans="1:6" ht="16.5" x14ac:dyDescent="0.3">
      <c r="A108" s="16" t="s">
        <v>151</v>
      </c>
      <c r="B108" s="14" t="s">
        <v>13</v>
      </c>
      <c r="C108" s="8">
        <v>1861</v>
      </c>
      <c r="D108" s="8">
        <v>129.1</v>
      </c>
      <c r="E108" s="8">
        <v>56</v>
      </c>
      <c r="F108" s="8">
        <v>1300</v>
      </c>
    </row>
    <row r="109" spans="1:6" ht="16.5" x14ac:dyDescent="0.3">
      <c r="A109" s="17" t="s">
        <v>100</v>
      </c>
      <c r="B109" s="15" t="s">
        <v>13</v>
      </c>
      <c r="C109" s="10">
        <v>4396</v>
      </c>
      <c r="D109" s="10">
        <v>508.5</v>
      </c>
      <c r="E109" s="10">
        <v>213</v>
      </c>
      <c r="F109" s="10">
        <v>1761</v>
      </c>
    </row>
    <row r="110" spans="1:6" ht="16.5" x14ac:dyDescent="0.3">
      <c r="A110" s="16" t="s">
        <v>101</v>
      </c>
      <c r="B110" s="14" t="s">
        <v>13</v>
      </c>
      <c r="C110" s="8">
        <v>9496</v>
      </c>
      <c r="D110" s="8">
        <v>655.5</v>
      </c>
      <c r="E110" s="8">
        <v>1457</v>
      </c>
      <c r="F110" s="8">
        <v>4748</v>
      </c>
    </row>
    <row r="111" spans="1:6" ht="16.5" x14ac:dyDescent="0.3">
      <c r="A111" s="17" t="s">
        <v>102</v>
      </c>
      <c r="B111" s="15" t="s">
        <v>13</v>
      </c>
      <c r="C111" s="10">
        <v>9911</v>
      </c>
      <c r="D111" s="10">
        <v>1038.5999999999999</v>
      </c>
      <c r="E111" s="10">
        <v>424.5</v>
      </c>
      <c r="F111" s="10">
        <v>4565.5</v>
      </c>
    </row>
    <row r="112" spans="1:6" ht="16.5" x14ac:dyDescent="0.3">
      <c r="A112" s="16" t="s">
        <v>103</v>
      </c>
      <c r="B112" s="14" t="s">
        <v>13</v>
      </c>
      <c r="C112" s="8">
        <v>7637</v>
      </c>
      <c r="D112" s="8">
        <v>722.85</v>
      </c>
      <c r="E112" s="8">
        <v>5114.5</v>
      </c>
      <c r="F112" s="8">
        <v>3474.5</v>
      </c>
    </row>
    <row r="113" spans="1:6" ht="16.5" x14ac:dyDescent="0.3">
      <c r="A113" s="17" t="s">
        <v>104</v>
      </c>
      <c r="B113" s="15" t="s">
        <v>13</v>
      </c>
      <c r="C113" s="10">
        <v>5291</v>
      </c>
      <c r="D113" s="10">
        <v>461.5</v>
      </c>
      <c r="E113" s="10">
        <v>4199.5</v>
      </c>
      <c r="F113" s="10">
        <v>2106.5</v>
      </c>
    </row>
    <row r="114" spans="1:6" ht="16.5" x14ac:dyDescent="0.3">
      <c r="A114" s="16" t="s">
        <v>105</v>
      </c>
      <c r="B114" s="14" t="s">
        <v>13</v>
      </c>
      <c r="C114" s="8">
        <v>8793</v>
      </c>
      <c r="D114" s="8">
        <v>927</v>
      </c>
      <c r="E114" s="8">
        <v>730</v>
      </c>
      <c r="F114" s="8">
        <v>5770</v>
      </c>
    </row>
    <row r="115" spans="1:6" ht="16.5" x14ac:dyDescent="0.3">
      <c r="A115" s="17" t="s">
        <v>149</v>
      </c>
      <c r="B115" s="15" t="s">
        <v>13</v>
      </c>
      <c r="C115" s="10">
        <v>1668</v>
      </c>
      <c r="D115" s="10">
        <v>147.5</v>
      </c>
      <c r="E115" s="10">
        <v>5630</v>
      </c>
      <c r="F115" s="10">
        <v>4566</v>
      </c>
    </row>
    <row r="116" spans="1:6" ht="16.5" x14ac:dyDescent="0.3">
      <c r="A116" s="16" t="s">
        <v>107</v>
      </c>
      <c r="B116" s="14" t="s">
        <v>13</v>
      </c>
      <c r="C116" s="8">
        <v>3792</v>
      </c>
      <c r="D116" s="8">
        <v>150.6</v>
      </c>
      <c r="E116" s="8">
        <v>5078</v>
      </c>
      <c r="F116" s="8">
        <v>932</v>
      </c>
    </row>
    <row r="117" spans="1:6" ht="16.5" x14ac:dyDescent="0.3">
      <c r="A117" s="17" t="s">
        <v>108</v>
      </c>
      <c r="B117" s="15" t="s">
        <v>13</v>
      </c>
      <c r="C117" s="10">
        <v>5648</v>
      </c>
      <c r="D117" s="10">
        <v>287.55</v>
      </c>
      <c r="E117" s="10">
        <v>1077</v>
      </c>
      <c r="F117" s="10">
        <v>3981</v>
      </c>
    </row>
    <row r="118" spans="1:6" ht="16.5" x14ac:dyDescent="0.3">
      <c r="A118" s="16" t="s">
        <v>150</v>
      </c>
      <c r="B118" s="14" t="s">
        <v>13</v>
      </c>
      <c r="C118" s="8">
        <v>9107</v>
      </c>
      <c r="D118" s="8">
        <v>693.45</v>
      </c>
      <c r="E118" s="8">
        <v>718.09</v>
      </c>
      <c r="F118" s="8">
        <v>2810.91</v>
      </c>
    </row>
    <row r="119" spans="1:6" ht="16.5" x14ac:dyDescent="0.3">
      <c r="A119" s="17" t="s">
        <v>109</v>
      </c>
      <c r="B119" s="15" t="s">
        <v>13</v>
      </c>
      <c r="C119" s="10">
        <v>6873</v>
      </c>
      <c r="D119" s="10">
        <v>733.8</v>
      </c>
      <c r="E119" s="10">
        <v>3763</v>
      </c>
      <c r="F119" s="10">
        <v>741.99999999999898</v>
      </c>
    </row>
    <row r="120" spans="1:6" ht="16.5" x14ac:dyDescent="0.3">
      <c r="A120" s="16" t="s">
        <v>106</v>
      </c>
      <c r="B120" s="14" t="s">
        <v>13</v>
      </c>
      <c r="C120" s="8">
        <v>4894</v>
      </c>
      <c r="D120" s="8">
        <v>400.7</v>
      </c>
      <c r="E120" s="8">
        <v>30</v>
      </c>
      <c r="F120" s="8">
        <v>5503</v>
      </c>
    </row>
    <row r="121" spans="1:6" ht="16.5" x14ac:dyDescent="0.3">
      <c r="A121" s="17" t="s">
        <v>110</v>
      </c>
      <c r="B121" s="15" t="s">
        <v>13</v>
      </c>
      <c r="C121" s="10">
        <v>4602</v>
      </c>
      <c r="D121" s="10">
        <v>494.15</v>
      </c>
      <c r="E121" s="10">
        <v>2506</v>
      </c>
      <c r="F121" s="10">
        <v>1841</v>
      </c>
    </row>
    <row r="122" spans="1:6" ht="16.5" x14ac:dyDescent="0.3">
      <c r="A122" s="16" t="s">
        <v>111</v>
      </c>
      <c r="B122" s="14" t="s">
        <v>14</v>
      </c>
      <c r="C122" s="8">
        <v>4553</v>
      </c>
      <c r="D122" s="8">
        <v>424</v>
      </c>
      <c r="E122" s="8">
        <v>445</v>
      </c>
      <c r="F122" s="8">
        <v>3466</v>
      </c>
    </row>
    <row r="123" spans="1:6" ht="16.5" x14ac:dyDescent="0.3">
      <c r="A123" s="17" t="s">
        <v>112</v>
      </c>
      <c r="B123" s="15" t="s">
        <v>14</v>
      </c>
      <c r="C123" s="10">
        <v>9411</v>
      </c>
      <c r="D123" s="10">
        <v>590</v>
      </c>
      <c r="E123" s="10">
        <v>1442</v>
      </c>
      <c r="F123" s="10">
        <v>3688</v>
      </c>
    </row>
    <row r="124" spans="1:6" ht="16.5" x14ac:dyDescent="0.3">
      <c r="A124" s="16" t="s">
        <v>161</v>
      </c>
      <c r="B124" s="14" t="s">
        <v>14</v>
      </c>
      <c r="C124" s="8">
        <v>5433</v>
      </c>
      <c r="D124" s="8">
        <v>563.15</v>
      </c>
      <c r="E124" s="8">
        <v>135</v>
      </c>
      <c r="F124" s="8">
        <v>2028</v>
      </c>
    </row>
    <row r="125" spans="1:6" ht="16.5" x14ac:dyDescent="0.3">
      <c r="A125" s="17" t="s">
        <v>113</v>
      </c>
      <c r="B125" s="15" t="s">
        <v>14</v>
      </c>
      <c r="C125" s="10">
        <v>5213</v>
      </c>
      <c r="D125" s="10">
        <v>402.6</v>
      </c>
      <c r="E125" s="10">
        <v>4400</v>
      </c>
      <c r="F125" s="10">
        <v>1227</v>
      </c>
    </row>
    <row r="126" spans="1:6" ht="16.5" x14ac:dyDescent="0.3">
      <c r="A126" s="16" t="s">
        <v>162</v>
      </c>
      <c r="B126" s="14" t="s">
        <v>14</v>
      </c>
      <c r="C126" s="8">
        <v>2374</v>
      </c>
      <c r="D126" s="8">
        <v>176.8</v>
      </c>
      <c r="E126" s="8">
        <v>30</v>
      </c>
      <c r="F126" s="8">
        <v>2042</v>
      </c>
    </row>
    <row r="127" spans="1:6" ht="16.5" x14ac:dyDescent="0.3">
      <c r="A127" s="17" t="s">
        <v>114</v>
      </c>
      <c r="B127" s="15" t="s">
        <v>14</v>
      </c>
      <c r="C127" s="10">
        <v>2895</v>
      </c>
      <c r="D127" s="10">
        <v>194.6</v>
      </c>
      <c r="E127" s="10">
        <v>964</v>
      </c>
      <c r="F127" s="10">
        <v>272</v>
      </c>
    </row>
    <row r="128" spans="1:6" ht="16.5" x14ac:dyDescent="0.3">
      <c r="A128" s="16" t="s">
        <v>115</v>
      </c>
      <c r="B128" s="14" t="s">
        <v>14</v>
      </c>
      <c r="C128" s="8">
        <v>2737</v>
      </c>
      <c r="D128" s="8">
        <v>240.7</v>
      </c>
      <c r="E128" s="8">
        <v>60</v>
      </c>
      <c r="F128" s="8">
        <v>2078</v>
      </c>
    </row>
    <row r="129" spans="1:6" ht="16.5" x14ac:dyDescent="0.3">
      <c r="A129" s="17" t="s">
        <v>116</v>
      </c>
      <c r="B129" s="15" t="s">
        <v>14</v>
      </c>
      <c r="C129" s="10">
        <v>6816</v>
      </c>
      <c r="D129" s="10">
        <v>655.04999999999995</v>
      </c>
      <c r="E129" s="10">
        <v>2053</v>
      </c>
      <c r="F129" s="10">
        <v>2068</v>
      </c>
    </row>
    <row r="130" spans="1:6" ht="16.5" x14ac:dyDescent="0.3">
      <c r="A130" s="16" t="s">
        <v>160</v>
      </c>
      <c r="B130" s="14" t="s">
        <v>14</v>
      </c>
      <c r="C130" s="8">
        <v>4318</v>
      </c>
      <c r="D130" s="8">
        <v>376.95</v>
      </c>
      <c r="E130" s="8">
        <v>388</v>
      </c>
      <c r="F130" s="8">
        <v>2680</v>
      </c>
    </row>
    <row r="131" spans="1:6" ht="16.5" x14ac:dyDescent="0.3">
      <c r="A131" s="17" t="s">
        <v>118</v>
      </c>
      <c r="B131" s="15" t="s">
        <v>14</v>
      </c>
      <c r="C131" s="10">
        <v>7545</v>
      </c>
      <c r="D131" s="10">
        <v>650.15</v>
      </c>
      <c r="E131" s="10">
        <v>1095</v>
      </c>
      <c r="F131" s="10">
        <v>2773</v>
      </c>
    </row>
    <row r="132" spans="1:6" ht="16.5" x14ac:dyDescent="0.3">
      <c r="A132" s="16" t="s">
        <v>117</v>
      </c>
      <c r="B132" s="14" t="s">
        <v>14</v>
      </c>
      <c r="C132" s="8">
        <v>2477</v>
      </c>
      <c r="D132" s="8">
        <v>179.7</v>
      </c>
      <c r="E132" s="8">
        <v>230</v>
      </c>
      <c r="F132" s="8">
        <v>1376</v>
      </c>
    </row>
    <row r="133" spans="1:6" ht="16.5" x14ac:dyDescent="0.3">
      <c r="A133" s="17" t="s">
        <v>119</v>
      </c>
      <c r="B133" s="15" t="s">
        <v>14</v>
      </c>
      <c r="C133" s="10">
        <v>5882</v>
      </c>
      <c r="D133" s="10">
        <v>699</v>
      </c>
      <c r="E133" s="10">
        <v>216</v>
      </c>
      <c r="F133" s="10">
        <v>4565</v>
      </c>
    </row>
    <row r="134" spans="1:6" ht="16.5" x14ac:dyDescent="0.3">
      <c r="A134" s="16" t="s">
        <v>120</v>
      </c>
      <c r="B134" s="14" t="s">
        <v>14</v>
      </c>
      <c r="C134" s="8">
        <v>2152</v>
      </c>
      <c r="D134" s="8">
        <v>216.5</v>
      </c>
      <c r="E134" s="8">
        <v>64</v>
      </c>
      <c r="F134" s="8">
        <v>1021</v>
      </c>
    </row>
    <row r="135" spans="1:6" ht="16.5" x14ac:dyDescent="0.3">
      <c r="A135" s="17" t="s">
        <v>159</v>
      </c>
      <c r="B135" s="15" t="s">
        <v>14</v>
      </c>
      <c r="C135" s="10">
        <v>3720</v>
      </c>
      <c r="D135" s="10">
        <v>337.7</v>
      </c>
      <c r="E135" s="10">
        <v>655</v>
      </c>
      <c r="F135" s="10">
        <v>791</v>
      </c>
    </row>
    <row r="136" spans="1:6" ht="16.5" x14ac:dyDescent="0.3">
      <c r="A136" s="16" t="s">
        <v>121</v>
      </c>
      <c r="B136" s="14" t="s">
        <v>14</v>
      </c>
      <c r="C136" s="8">
        <v>2042</v>
      </c>
      <c r="D136" s="8">
        <v>204.8</v>
      </c>
      <c r="E136" s="8">
        <v>1178.7</v>
      </c>
      <c r="F136" s="8">
        <v>980.3</v>
      </c>
    </row>
    <row r="137" spans="1:6" ht="16.5" x14ac:dyDescent="0.3">
      <c r="A137" s="17" t="s">
        <v>122</v>
      </c>
      <c r="B137" s="15" t="s">
        <v>14</v>
      </c>
      <c r="C137" s="10">
        <v>2619</v>
      </c>
      <c r="D137" s="10">
        <v>57</v>
      </c>
      <c r="E137" s="10">
        <v>75</v>
      </c>
      <c r="F137" s="10">
        <v>865</v>
      </c>
    </row>
    <row r="138" spans="1:6" ht="16.5" x14ac:dyDescent="0.3">
      <c r="A138" s="16" t="s">
        <v>158</v>
      </c>
      <c r="B138" s="14" t="s">
        <v>14</v>
      </c>
      <c r="C138" s="8">
        <v>2632</v>
      </c>
      <c r="D138" s="8">
        <v>242.9</v>
      </c>
      <c r="E138" s="8">
        <v>390</v>
      </c>
      <c r="F138" s="8">
        <v>1280</v>
      </c>
    </row>
    <row r="139" spans="1:6" ht="16.5" x14ac:dyDescent="0.3">
      <c r="A139" s="17" t="s">
        <v>123</v>
      </c>
      <c r="B139" s="15" t="s">
        <v>14</v>
      </c>
      <c r="C139" s="10">
        <v>3905</v>
      </c>
      <c r="D139" s="10">
        <v>359.5</v>
      </c>
      <c r="E139" s="10">
        <v>547</v>
      </c>
      <c r="F139" s="10">
        <v>3508</v>
      </c>
    </row>
    <row r="140" spans="1:6" ht="16.5" x14ac:dyDescent="0.3">
      <c r="A140" s="16" t="s">
        <v>124</v>
      </c>
      <c r="B140" s="14" t="s">
        <v>14</v>
      </c>
      <c r="C140" s="8">
        <v>9379</v>
      </c>
      <c r="D140" s="8">
        <v>911.8</v>
      </c>
      <c r="E140" s="8">
        <v>6072.5</v>
      </c>
      <c r="F140" s="8">
        <v>313.49999999999898</v>
      </c>
    </row>
    <row r="141" spans="1:6" ht="16.5" x14ac:dyDescent="0.3">
      <c r="A141" s="17" t="s">
        <v>157</v>
      </c>
      <c r="B141" s="15" t="s">
        <v>14</v>
      </c>
      <c r="C141" s="10">
        <v>5729</v>
      </c>
      <c r="D141" s="10">
        <v>561</v>
      </c>
      <c r="E141" s="10">
        <v>511</v>
      </c>
      <c r="F141" s="10">
        <v>3345</v>
      </c>
    </row>
    <row r="142" spans="1:6" ht="16.5" x14ac:dyDescent="0.3">
      <c r="A142" s="16" t="s">
        <v>125</v>
      </c>
      <c r="B142" s="14" t="s">
        <v>14</v>
      </c>
      <c r="C142" s="8">
        <v>6137</v>
      </c>
      <c r="D142" s="8">
        <v>534.6</v>
      </c>
      <c r="E142" s="8">
        <v>1549</v>
      </c>
      <c r="F142" s="8">
        <v>1272</v>
      </c>
    </row>
    <row r="143" spans="1:6" ht="16.5" x14ac:dyDescent="0.3">
      <c r="A143" s="17" t="s">
        <v>163</v>
      </c>
      <c r="B143" s="15" t="s">
        <v>14</v>
      </c>
      <c r="C143" s="10">
        <v>10570</v>
      </c>
      <c r="D143" s="10">
        <v>1004.55</v>
      </c>
      <c r="E143" s="10">
        <v>972.5</v>
      </c>
      <c r="F143" s="10">
        <v>6097.5</v>
      </c>
    </row>
    <row r="144" spans="1:6" ht="16.5" x14ac:dyDescent="0.3">
      <c r="A144" s="16" t="s">
        <v>126</v>
      </c>
      <c r="B144" s="14" t="s">
        <v>14</v>
      </c>
      <c r="C144" s="8">
        <v>4538</v>
      </c>
      <c r="D144" s="8">
        <v>323.25</v>
      </c>
      <c r="E144" s="8">
        <v>2151</v>
      </c>
      <c r="F144" s="8">
        <v>2504</v>
      </c>
    </row>
    <row r="145" spans="1:6" ht="16.5" x14ac:dyDescent="0.3">
      <c r="A145" s="17" t="s">
        <v>127</v>
      </c>
      <c r="B145" s="15" t="s">
        <v>14</v>
      </c>
      <c r="C145" s="10">
        <v>8592</v>
      </c>
      <c r="D145" s="10">
        <v>774.63</v>
      </c>
      <c r="E145" s="10">
        <v>6746</v>
      </c>
      <c r="F145" s="10">
        <v>1400</v>
      </c>
    </row>
    <row r="146" spans="1:6" ht="16.5" x14ac:dyDescent="0.3">
      <c r="A146" s="11" t="s">
        <v>15</v>
      </c>
      <c r="B146" s="11"/>
      <c r="C146" s="12">
        <f>SUM(C2:C145)</f>
        <v>868272.3</v>
      </c>
      <c r="D146" s="12">
        <f>SUM(D2:D145)</f>
        <v>78821.679999999993</v>
      </c>
      <c r="E146" s="12">
        <f>SUM(E2:E145)</f>
        <v>301987.88</v>
      </c>
      <c r="F146" s="12">
        <f>SUM(F2:F145)</f>
        <v>389739.19999999995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General</vt:lpstr>
      <vt:lpstr>Detalle de 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Olvera</cp:lastModifiedBy>
  <dcterms:created xsi:type="dcterms:W3CDTF">2026-05-26T01:07:50Z</dcterms:created>
  <dcterms:modified xsi:type="dcterms:W3CDTF">2026-05-26T03:19:59Z</dcterms:modified>
</cp:coreProperties>
</file>